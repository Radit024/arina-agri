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My Files\Projects\arina-agri\references\"/>
    </mc:Choice>
  </mc:AlternateContent>
  <xr:revisionPtr revIDLastSave="0" documentId="13_ncr:1_{6DEF85D8-6705-45AA-A7CE-6C949572664A}" xr6:coauthVersionLast="47" xr6:coauthVersionMax="47" xr10:uidLastSave="{00000000-0000-0000-0000-000000000000}"/>
  <bookViews>
    <workbookView xWindow="28680" yWindow="-45" windowWidth="29040" windowHeight="16440" xr2:uid="{00000000-000D-0000-FFFF-FFFF00000000}"/>
  </bookViews>
  <sheets>
    <sheet name="1. RAB PADI 1 Ha" sheetId="9" r:id="rId1"/>
    <sheet name="2. Catatan Transaksi Harian" sheetId="8" r:id="rId2"/>
    <sheet name="3. Laporan laba rugi" sheetId="10" r:id="rId3"/>
    <sheet name="4. Arus kas" sheetId="11" r:id="rId4"/>
    <sheet name="5. Arus Kas Pasca Pembiayaan" sheetId="12" r:id="rId5"/>
  </sheets>
  <externalReferences>
    <externalReference r:id="rId6"/>
  </externalReferences>
  <definedNames>
    <definedName name="_xlnm.Print_Area" localSheetId="2">'3. Laporan laba rugi'!$B$2:$L$45</definedName>
    <definedName name="_xlnm.Print_Area" localSheetId="3">'4. Arus kas'!$B$3:$M$46</definedName>
    <definedName name="_xlnm.Print_Area" localSheetId="4">'5. Arus Kas Pasca Pembiayaan'!$B$2:$M$42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9ZqJRiqG9EgVqf2ss3SuZDnRVI3Pi6BcE5r09dODKqA="/>
    </ext>
  </extLst>
</workbook>
</file>

<file path=xl/calcChain.xml><?xml version="1.0" encoding="utf-8"?>
<calcChain xmlns="http://schemas.openxmlformats.org/spreadsheetml/2006/main">
  <c r="F57" i="9" l="1"/>
  <c r="I15" i="12"/>
  <c r="J15" i="12"/>
  <c r="H9" i="12"/>
  <c r="I9" i="12"/>
  <c r="J9" i="12"/>
  <c r="G9" i="12"/>
  <c r="G38" i="11"/>
  <c r="J32" i="11"/>
  <c r="L32" i="11" s="1"/>
  <c r="K31" i="11"/>
  <c r="L31" i="11" s="1"/>
  <c r="G30" i="11"/>
  <c r="G29" i="11"/>
  <c r="H42" i="11"/>
  <c r="I42" i="11"/>
  <c r="H40" i="11"/>
  <c r="I40" i="11"/>
  <c r="J40" i="11"/>
  <c r="K40" i="11"/>
  <c r="G40" i="11"/>
  <c r="H33" i="11"/>
  <c r="I33" i="11"/>
  <c r="K33" i="11"/>
  <c r="G33" i="11"/>
  <c r="G42" i="11" s="1"/>
  <c r="L30" i="11"/>
  <c r="L29" i="11"/>
  <c r="L26" i="11"/>
  <c r="L24" i="11"/>
  <c r="L21" i="11"/>
  <c r="L15" i="11"/>
  <c r="L16" i="11"/>
  <c r="L17" i="11"/>
  <c r="L18" i="11"/>
  <c r="L19" i="11"/>
  <c r="L20" i="11"/>
  <c r="L14" i="11"/>
  <c r="H26" i="11"/>
  <c r="I26" i="11"/>
  <c r="J26" i="11"/>
  <c r="K26" i="11"/>
  <c r="G26" i="11"/>
  <c r="H21" i="11"/>
  <c r="I21" i="11"/>
  <c r="J21" i="11"/>
  <c r="K21" i="11"/>
  <c r="G21" i="11"/>
  <c r="G15" i="11"/>
  <c r="G16" i="11"/>
  <c r="G18" i="11"/>
  <c r="G14" i="11"/>
  <c r="K9" i="11"/>
  <c r="K8" i="10"/>
  <c r="K12" i="10" s="1"/>
  <c r="K19" i="10" s="1"/>
  <c r="G36" i="10"/>
  <c r="G34" i="10"/>
  <c r="G33" i="10"/>
  <c r="G32" i="10"/>
  <c r="F23" i="9"/>
  <c r="G25" i="10"/>
  <c r="G26" i="10"/>
  <c r="G27" i="10"/>
  <c r="G24" i="10"/>
  <c r="G29" i="10" s="1"/>
  <c r="G19" i="10"/>
  <c r="G21" i="10" s="1"/>
  <c r="G14" i="10"/>
  <c r="G15" i="10"/>
  <c r="F16" i="9"/>
  <c r="G11" i="10"/>
  <c r="G12" i="10"/>
  <c r="G13" i="10"/>
  <c r="G10" i="10"/>
  <c r="G9" i="10"/>
  <c r="F38" i="9"/>
  <c r="I38" i="12"/>
  <c r="H38" i="12"/>
  <c r="E38" i="12"/>
  <c r="I36" i="12"/>
  <c r="G36" i="12"/>
  <c r="L35" i="12"/>
  <c r="E32" i="12"/>
  <c r="L32" i="12" s="1"/>
  <c r="I18" i="12"/>
  <c r="I25" i="12" s="1"/>
  <c r="I26" i="12" s="1"/>
  <c r="K34" i="12" s="1"/>
  <c r="J38" i="12"/>
  <c r="G38" i="12"/>
  <c r="L37" i="11"/>
  <c r="J11" i="11"/>
  <c r="I11" i="11"/>
  <c r="H11" i="11"/>
  <c r="G11" i="11"/>
  <c r="F11" i="11"/>
  <c r="L10" i="11"/>
  <c r="K10" i="11"/>
  <c r="L9" i="11"/>
  <c r="O36" i="10"/>
  <c r="K42" i="11" l="1"/>
  <c r="K44" i="11" s="1"/>
  <c r="K9" i="12" s="1"/>
  <c r="K38" i="12" s="1"/>
  <c r="L38" i="12" s="1"/>
  <c r="E33" i="12"/>
  <c r="L33" i="12" s="1"/>
  <c r="J33" i="11"/>
  <c r="J42" i="11" s="1"/>
  <c r="L33" i="11"/>
  <c r="K11" i="11"/>
  <c r="L36" i="11"/>
  <c r="L40" i="11" s="1"/>
  <c r="L42" i="11" s="1"/>
  <c r="J44" i="11"/>
  <c r="L11" i="11"/>
  <c r="H44" i="11"/>
  <c r="G16" i="10"/>
  <c r="K36" i="12"/>
  <c r="L34" i="12"/>
  <c r="P33" i="12" s="1"/>
  <c r="E36" i="12"/>
  <c r="E40" i="12" s="1"/>
  <c r="G40" i="12" s="1"/>
  <c r="H40" i="12" s="1"/>
  <c r="I40" i="12" s="1"/>
  <c r="J40" i="12" s="1"/>
  <c r="I44" i="11"/>
  <c r="K40" i="12" l="1"/>
  <c r="L40" i="12" s="1"/>
  <c r="G39" i="10"/>
  <c r="K22" i="10"/>
  <c r="K24" i="10" s="1"/>
  <c r="G44" i="11"/>
  <c r="L44" i="11" s="1"/>
  <c r="L9" i="12" s="1"/>
  <c r="C52" i="9" l="1"/>
  <c r="F52" i="9" s="1"/>
  <c r="F45" i="9"/>
  <c r="F43" i="9"/>
  <c r="F39" i="9"/>
  <c r="C33" i="9"/>
  <c r="F33" i="9" s="1"/>
  <c r="F32" i="9"/>
  <c r="F31" i="9"/>
  <c r="F30" i="9"/>
  <c r="F29" i="9"/>
  <c r="F28" i="9"/>
  <c r="F27" i="9"/>
  <c r="F26" i="9"/>
  <c r="F22" i="9"/>
  <c r="E21" i="9"/>
  <c r="F21" i="9" s="1"/>
  <c r="E20" i="9"/>
  <c r="F20" i="9" s="1"/>
  <c r="F19" i="9"/>
  <c r="F15" i="9"/>
  <c r="F14" i="9"/>
  <c r="F13" i="9"/>
  <c r="F12" i="9"/>
  <c r="E11" i="9"/>
  <c r="F11" i="9" s="1"/>
  <c r="E10" i="9"/>
  <c r="F10" i="9" s="1"/>
  <c r="F9" i="9"/>
  <c r="F35" i="9" l="1"/>
  <c r="F47" i="9" l="1"/>
  <c r="F56" i="9" s="1"/>
  <c r="F53" i="9" l="1"/>
  <c r="F61" i="9" l="1"/>
  <c r="F60" i="9"/>
  <c r="F58" i="9"/>
</calcChain>
</file>

<file path=xl/sharedStrings.xml><?xml version="1.0" encoding="utf-8"?>
<sst xmlns="http://schemas.openxmlformats.org/spreadsheetml/2006/main" count="349" uniqueCount="201">
  <si>
    <t>Kg</t>
  </si>
  <si>
    <t>Liter</t>
  </si>
  <si>
    <t>Sak</t>
  </si>
  <si>
    <t>Paket</t>
  </si>
  <si>
    <t>Lembar</t>
  </si>
  <si>
    <t>HOK</t>
  </si>
  <si>
    <t>-</t>
  </si>
  <si>
    <t>Tanggal</t>
  </si>
  <si>
    <t>Uraian Transaksi</t>
  </si>
  <si>
    <t>Volume</t>
  </si>
  <si>
    <t>Satuan</t>
  </si>
  <si>
    <t>Harga Satuan (Rp)</t>
  </si>
  <si>
    <t>Pengeluaran (Rp)</t>
  </si>
  <si>
    <t>Pemasukan (Rp)</t>
  </si>
  <si>
    <t>01 Ags</t>
  </si>
  <si>
    <t>02 Ags</t>
  </si>
  <si>
    <t>03 Ags</t>
  </si>
  <si>
    <t>05 Ags</t>
  </si>
  <si>
    <t>08 Ags</t>
  </si>
  <si>
    <t>10 Ags</t>
  </si>
  <si>
    <t>15 Ags</t>
  </si>
  <si>
    <t>20 Ags</t>
  </si>
  <si>
    <t>25 Ags</t>
  </si>
  <si>
    <t>28 Ags</t>
  </si>
  <si>
    <t>05 Okt</t>
  </si>
  <si>
    <t>10 Okt</t>
  </si>
  <si>
    <t>15 Okt</t>
  </si>
  <si>
    <t>25 Okt</t>
  </si>
  <si>
    <t>05 Des</t>
  </si>
  <si>
    <t>10 Des</t>
  </si>
  <si>
    <t>15 Des</t>
  </si>
  <si>
    <t>18 Des</t>
  </si>
  <si>
    <t>20 Des</t>
  </si>
  <si>
    <t>25 Des</t>
  </si>
  <si>
    <t>Pembelian benih padi</t>
  </si>
  <si>
    <t>Pembelian herbisida persiapan lahan</t>
  </si>
  <si>
    <t>Pembelian dolomit</t>
  </si>
  <si>
    <t>Pembayaran jasa pengolahan tanah (TR 2)</t>
  </si>
  <si>
    <t>Pembayaran upah pengapuran</t>
  </si>
  <si>
    <t>Pembayaran upah persemaian sistem dapog</t>
  </si>
  <si>
    <t>Pembelian pupuk NPK subsidi</t>
  </si>
  <si>
    <t>Pembelian pupuk Urea subsidi</t>
  </si>
  <si>
    <t>Pembayaran jasa penanaman menggunakan transplanter</t>
  </si>
  <si>
    <t>Pembayaran upah pemupukan I</t>
  </si>
  <si>
    <t>Pembayaran upah pengairan I</t>
  </si>
  <si>
    <t>Pembelian herbisida penyiangan</t>
  </si>
  <si>
    <t>Pembayaran upah penyiangan herbisida I</t>
  </si>
  <si>
    <t>Pembelian pestisida/obat HPT</t>
  </si>
  <si>
    <t>Pembayaran upah pengendalian OPT I</t>
  </si>
  <si>
    <t>Pembayaran upah penyulaman tanaman</t>
  </si>
  <si>
    <t>Pembayaran upah pengendalian OPT II</t>
  </si>
  <si>
    <t>Pembayaran upah pengairan II</t>
  </si>
  <si>
    <t>Pembayaran upah pemupukan II</t>
  </si>
  <si>
    <t>Pembayaran upah pengendalian OPT III</t>
  </si>
  <si>
    <t>Pembayaran upah pengairan III</t>
  </si>
  <si>
    <t>Pembayaran upah penyiangan herbisida II</t>
  </si>
  <si>
    <t>30 Okt</t>
  </si>
  <si>
    <t>Pembayaran upah pengendalian OPT IV</t>
  </si>
  <si>
    <t>Pembelian pestisida/obat HPT tambahan</t>
  </si>
  <si>
    <t>Pembayaran upah pengairan IV</t>
  </si>
  <si>
    <t>Pembayaran upah pengendalian OPT V</t>
  </si>
  <si>
    <t>Pembayaran jasa pompa air</t>
  </si>
  <si>
    <t>Pembayaran iuran pengairan</t>
  </si>
  <si>
    <t>Pembayaran upah pengendalian OPT VI</t>
  </si>
  <si>
    <t>Pembayaran upah pengairan V</t>
  </si>
  <si>
    <t>Pembelian karung gabah</t>
  </si>
  <si>
    <t>Pembayaran upah pengendalian OPT VII</t>
  </si>
  <si>
    <t>12 Des</t>
  </si>
  <si>
    <t>Pembayaran biaya transport hasil panen</t>
  </si>
  <si>
    <t>Pembayaran jasa panen combine harvester</t>
  </si>
  <si>
    <t>Pembayaran upah pengendalian OPT VIII</t>
  </si>
  <si>
    <t>Pembayaran upah pengairan VI</t>
  </si>
  <si>
    <t>Penjualan gabah kering panen (GKP)</t>
  </si>
  <si>
    <t xml:space="preserve">CATATAN TRANSAKSI HARIAN </t>
  </si>
  <si>
    <t>USAHATANI PADI 1 HA PADA MT 3 ( AGUSTUS - DESEMBER 2026)</t>
  </si>
  <si>
    <t>NO</t>
  </si>
  <si>
    <t>URAIAN</t>
  </si>
  <si>
    <t>VOLUME</t>
  </si>
  <si>
    <t>SATUAN</t>
  </si>
  <si>
    <t>HARGA SATUAN (RP)</t>
  </si>
  <si>
    <t>MT 3 (Gadu)</t>
  </si>
  <si>
    <t>A</t>
  </si>
  <si>
    <t>BIAYA VARIABEL</t>
  </si>
  <si>
    <t>I</t>
  </si>
  <si>
    <t>SAPRODI</t>
  </si>
  <si>
    <t>Benih</t>
  </si>
  <si>
    <t>Pupuk NPK Subsidi</t>
  </si>
  <si>
    <t>Pupuk Urea  Subsidi</t>
  </si>
  <si>
    <t>Dolomit @40kg</t>
  </si>
  <si>
    <t>Pestisida (Obat HPT)</t>
  </si>
  <si>
    <t>Karung</t>
  </si>
  <si>
    <t>TOTAL</t>
  </si>
  <si>
    <t>II</t>
  </si>
  <si>
    <t>JASA ALSINTAN</t>
  </si>
  <si>
    <t>Jasa Pengolahan Tanah (TR 2) 6 - 8 Jam</t>
  </si>
  <si>
    <t>Jasa Penanaman (Transplanter) 5 - 6 Jam</t>
  </si>
  <si>
    <t>Jasa Panen (Combine Harvester) 4 - 5 Jam</t>
  </si>
  <si>
    <t xml:space="preserve">Jasa Pompa Air </t>
  </si>
  <si>
    <t>III</t>
  </si>
  <si>
    <t>TENAGA KERJA</t>
  </si>
  <si>
    <t>Persemaian sistem Dapog</t>
  </si>
  <si>
    <t>Pengapuran</t>
  </si>
  <si>
    <t>Sulam</t>
  </si>
  <si>
    <t>Pengendalian OPT</t>
  </si>
  <si>
    <t>Pengairan</t>
  </si>
  <si>
    <t>TOTAL BIAYA VARIABEL</t>
  </si>
  <si>
    <t>B</t>
  </si>
  <si>
    <t>BIAYA TETAP</t>
  </si>
  <si>
    <t>TOTAL TETAP</t>
  </si>
  <si>
    <t>C</t>
  </si>
  <si>
    <t>LAIN - LAIN</t>
  </si>
  <si>
    <t>Iuran Pengairan</t>
  </si>
  <si>
    <t xml:space="preserve">Transport </t>
  </si>
  <si>
    <t>TOTAL BIAYA LAIN - LAIN</t>
  </si>
  <si>
    <t>D</t>
  </si>
  <si>
    <t>TOTAL BIAYA PRODUKSI</t>
  </si>
  <si>
    <t>E</t>
  </si>
  <si>
    <t>ESTIMASI PENDAPATAN</t>
  </si>
  <si>
    <t>Produksi</t>
  </si>
  <si>
    <t>kg</t>
  </si>
  <si>
    <t>Harga pasar</t>
  </si>
  <si>
    <t>Penerimaan</t>
  </si>
  <si>
    <t>Keuntungan</t>
  </si>
  <si>
    <t>F</t>
  </si>
  <si>
    <t xml:space="preserve">KELAYAKAN USAHA </t>
  </si>
  <si>
    <t>HPP</t>
  </si>
  <si>
    <t>BEP Produksi</t>
  </si>
  <si>
    <t>B/C ratio</t>
  </si>
  <si>
    <t>G</t>
  </si>
  <si>
    <t>BAGI HASIL</t>
  </si>
  <si>
    <t>Laba/Rugi</t>
  </si>
  <si>
    <t>Jenis</t>
  </si>
  <si>
    <t>Jumlah</t>
  </si>
  <si>
    <t>Pengeluaran</t>
  </si>
  <si>
    <t>Pendapatan</t>
  </si>
  <si>
    <t>Input Usaha Tani</t>
  </si>
  <si>
    <t>Penjualan Padi (GKP)</t>
  </si>
  <si>
    <t xml:space="preserve">NPK </t>
  </si>
  <si>
    <t>Urea</t>
  </si>
  <si>
    <t>Dolomit</t>
  </si>
  <si>
    <t>Total Pendapatan</t>
  </si>
  <si>
    <t>Herbisida</t>
  </si>
  <si>
    <t>Pestisida</t>
  </si>
  <si>
    <t>Sub-total</t>
  </si>
  <si>
    <t>Tenaga Kerja</t>
  </si>
  <si>
    <t>Tenaga Kerja Eksternal</t>
  </si>
  <si>
    <t>Total Pengeluaran</t>
  </si>
  <si>
    <t>Jasa Alsintan</t>
  </si>
  <si>
    <t>Tanam (Transplanter)</t>
  </si>
  <si>
    <t>Lain-lain</t>
  </si>
  <si>
    <t>Transport</t>
  </si>
  <si>
    <t>Rafia</t>
  </si>
  <si>
    <t>Deskripsi</t>
  </si>
  <si>
    <t>JULI</t>
  </si>
  <si>
    <t>AGUSTUS</t>
  </si>
  <si>
    <t>SEPTEMBER</t>
  </si>
  <si>
    <t>OKTOBER</t>
  </si>
  <si>
    <t>NOPEMBER</t>
  </si>
  <si>
    <t>DESEMBER</t>
  </si>
  <si>
    <t>Total</t>
  </si>
  <si>
    <t>Hasil Penjualan</t>
  </si>
  <si>
    <t>Input usaha tani</t>
  </si>
  <si>
    <t>NPK</t>
  </si>
  <si>
    <t>Biaya Tenaga Kerja</t>
  </si>
  <si>
    <t>Panen (Combine)</t>
  </si>
  <si>
    <t>Lain - lain</t>
  </si>
  <si>
    <t>Arus Kas</t>
  </si>
  <si>
    <t>Kebutuhan Modal Kerja - Pembiayaan - Arus Kas Kegiatan Usahatani Setelah Pembiayaan (Pinjaman)</t>
  </si>
  <si>
    <t>Arus Kas Kegiatan Usaha Tani sebelum Pembiayaan (pinjaman)</t>
  </si>
  <si>
    <t xml:space="preserve">Arus kas bulanan  Kegiatan Usaha Tani </t>
  </si>
  <si>
    <t xml:space="preserve">Kebutuhan pembiayaan </t>
  </si>
  <si>
    <t xml:space="preserve">Modal kerja yang dibutuhkan </t>
  </si>
  <si>
    <t>Modal sendiri dari BP</t>
  </si>
  <si>
    <t xml:space="preserve">Sumber Pendanaan lain yang bisa di pinjam </t>
  </si>
  <si>
    <t>Jangka waktu modal kerja (dalam bulan)</t>
  </si>
  <si>
    <t>Pinjaman ber subsidi - KUR</t>
  </si>
  <si>
    <t xml:space="preserve">Suku Bunga Pinjaman Tahunan </t>
  </si>
  <si>
    <t xml:space="preserve">Suku bunga per musim tanam </t>
  </si>
  <si>
    <t>Bunga yang harus dibayar</t>
  </si>
  <si>
    <t xml:space="preserve">Sumber dana lain yang harus di bayar </t>
  </si>
  <si>
    <t>Arus Kas - Kegiatan usaha tani setelah pembiayaan (pinjaman)</t>
  </si>
  <si>
    <t xml:space="preserve">Arus kas dari kegiatan keuangan </t>
  </si>
  <si>
    <t xml:space="preserve">Pinjaman yang diterima </t>
  </si>
  <si>
    <t xml:space="preserve">Pembayaran Pinjaman </t>
  </si>
  <si>
    <t xml:space="preserve">Arus kas bulanan Kegiatan Usaha tani sebelum pembiayaan </t>
  </si>
  <si>
    <t xml:space="preserve">Arus kas Kumulatif Kegiatan Usaha Tani  setelah pembiayaan </t>
  </si>
  <si>
    <t>RENCANA ANGGARAN BIAYA (RAB)</t>
  </si>
  <si>
    <t>USAHATANI PADI 1 HA</t>
  </si>
  <si>
    <t>MUSIM TANAM 3 (AGUSTUS - DESEMBER 2026)</t>
  </si>
  <si>
    <t>Herbisida  (kontak)</t>
  </si>
  <si>
    <t>Penyiangan Herbisida</t>
  </si>
  <si>
    <t xml:space="preserve">Pemupukan </t>
  </si>
  <si>
    <t>Sewa lahan</t>
  </si>
  <si>
    <t>Ha/Tahun</t>
  </si>
  <si>
    <t>40 % pemilik lahan</t>
  </si>
  <si>
    <t>60% BP</t>
  </si>
  <si>
    <t>Olah Lahan (TR2)</t>
  </si>
  <si>
    <t>Pompa Air</t>
  </si>
  <si>
    <t>Sewa Lahan</t>
  </si>
  <si>
    <t>Laporan Kas - Kegiatan Usaha Tani Padi Non Rawa 1 Ha</t>
  </si>
  <si>
    <t>Tenaga kerja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</si>
</sst>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64" formatCode="_(* #,##0_);_(* \(#,##0\);_(* &quot;-&quot;_);_(@_)"/>
    <numFmt numFmtId="165" formatCode="_-* #.#._-;\-* #.#._-;_-* &quot;-&quot;??_-;_-@_ⴆ"/>
    <numFmt numFmtId="166" formatCode="_-* #,##0.00_-;\-* #,##0.00_-;_-* &quot;-&quot;??_-;_-@"/>
    <numFmt numFmtId="167" formatCode="_-* #.;\-* #.;_-* &quot;-&quot;??_-;_-@_ⴆ"/>
    <numFmt numFmtId="168" formatCode="_-* #.;\-* #.;_-* &quot;-&quot;?_-;_-@_ⴆ"/>
    <numFmt numFmtId="169" formatCode="_-* #.##0.0_-;\-* #.##0.0_-;_-* &quot;-&quot;?_-;_-@"/>
    <numFmt numFmtId="170" formatCode="_-* #.##0.00_-;\-* #.##0.00_-;_-* &quot;-&quot;??_-;_-@_-"/>
    <numFmt numFmtId="171" formatCode="_-* #,##0.00_-;\-* #,##0.00_-;_-* &quot;-&quot;_-;_-@_-"/>
    <numFmt numFmtId="172" formatCode="_-* #.##._-;\-* #.##._-;_-* &quot;-&quot;??_-;_-@_ⴆ"/>
    <numFmt numFmtId="173" formatCode="_-* #.##0.00000_-;\-* #.##0.00000_-;_-* &quot;-&quot;?????_-;_-@_-"/>
    <numFmt numFmtId="174" formatCode="_-* #.#._-;\-* #.#._-;_-* &quot;-&quot;?????_-;_-@_ⴆ"/>
    <numFmt numFmtId="175" formatCode="_-* #.##0._-;\-* #.##0._-;_-* &quot;-&quot;??_-;_-@_-"/>
    <numFmt numFmtId="176" formatCode="_-* #.##._-;\-* #.##._-;_-* &quot;-&quot;_-;_-@_ⴆ"/>
    <numFmt numFmtId="177" formatCode="_-* #,##0_-;\-* #,##0_-;_-* &quot;-&quot;??_-;_-@_-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Arial"/>
    </font>
    <font>
      <sz val="11"/>
      <color theme="1"/>
      <name val="Calibri"/>
    </font>
    <font>
      <sz val="11"/>
      <color theme="1"/>
      <name val="Arial"/>
    </font>
    <font>
      <b/>
      <sz val="20"/>
      <color rgb="FFC0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9900"/>
        <bgColor rgb="FFFF9900"/>
      </patternFill>
    </fill>
    <fill>
      <patternFill patternType="solid">
        <fgColor rgb="FFA8D08D"/>
        <bgColor rgb="FFA8D08D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/>
      <right style="thick">
        <color auto="1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dotted">
        <color auto="1"/>
      </left>
      <right style="medium">
        <color auto="1"/>
      </right>
      <top/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tted">
        <color auto="1"/>
      </left>
      <right style="medium">
        <color auto="1"/>
      </right>
      <top/>
      <bottom style="medium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auto="1"/>
      </right>
      <top/>
      <bottom style="double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ashed">
        <color auto="1"/>
      </bottom>
      <diagonal/>
    </border>
    <border>
      <left style="dashed">
        <color auto="1"/>
      </left>
      <right style="medium">
        <color auto="1"/>
      </right>
      <top/>
      <bottom style="dashed">
        <color auto="1"/>
      </bottom>
      <diagonal/>
    </border>
    <border>
      <left style="dotted">
        <color auto="1"/>
      </left>
      <right/>
      <top/>
      <bottom/>
      <diagonal/>
    </border>
    <border>
      <left style="dashed">
        <color auto="1"/>
      </left>
      <right style="medium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 style="double">
        <color auto="1"/>
      </bottom>
      <diagonal/>
    </border>
    <border>
      <left style="dotted">
        <color auto="1"/>
      </left>
      <right/>
      <top/>
      <bottom style="double">
        <color auto="1"/>
      </bottom>
      <diagonal/>
    </border>
    <border>
      <left style="dashed">
        <color auto="1"/>
      </left>
      <right style="medium">
        <color auto="1"/>
      </right>
      <top/>
      <bottom style="double">
        <color auto="1"/>
      </bottom>
      <diagonal/>
    </border>
    <border>
      <left style="dott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ott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tted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/>
      <right style="dott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ott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/>
      <bottom style="dash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ashed">
        <color auto="1"/>
      </left>
      <right style="medium">
        <color auto="1"/>
      </right>
      <top style="dotted">
        <color auto="1"/>
      </top>
      <bottom style="dashed">
        <color auto="1"/>
      </bottom>
      <diagonal/>
    </border>
    <border>
      <left style="dotted">
        <color auto="1"/>
      </left>
      <right style="dashed">
        <color auto="1"/>
      </right>
      <top/>
      <bottom style="medium">
        <color auto="1"/>
      </bottom>
      <diagonal/>
    </border>
    <border>
      <left style="dotted">
        <color auto="1"/>
      </left>
      <right style="dashed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otted">
        <color auto="1"/>
      </left>
      <right style="dashed">
        <color auto="1"/>
      </right>
      <top/>
      <bottom style="double">
        <color auto="1"/>
      </bottom>
      <diagonal/>
    </border>
    <border>
      <left style="dashed">
        <color auto="1"/>
      </left>
      <right style="dashed">
        <color auto="1"/>
      </right>
      <top/>
      <bottom style="double">
        <color auto="1"/>
      </bottom>
      <diagonal/>
    </border>
    <border>
      <left style="dotted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/>
      <diagonal/>
    </border>
    <border>
      <left/>
      <right style="dotted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medium">
        <color auto="1"/>
      </bottom>
      <diagonal/>
    </border>
    <border>
      <left/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 style="dotted">
        <color auto="1"/>
      </right>
      <top/>
      <bottom style="double">
        <color auto="1"/>
      </bottom>
      <diagonal/>
    </border>
    <border>
      <left style="dotted">
        <color auto="1"/>
      </left>
      <right style="medium">
        <color auto="1"/>
      </right>
      <top style="dashed">
        <color auto="1"/>
      </top>
      <bottom style="double">
        <color auto="1"/>
      </bottom>
      <diagonal/>
    </border>
    <border>
      <left style="dotted">
        <color auto="1"/>
      </left>
      <right/>
      <top style="double">
        <color auto="1"/>
      </top>
      <bottom/>
      <diagonal/>
    </border>
    <border>
      <left/>
      <right style="dotted">
        <color auto="1"/>
      </right>
      <top style="double">
        <color auto="1"/>
      </top>
      <bottom/>
      <diagonal/>
    </border>
    <border>
      <left style="dotted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dashed">
        <color auto="1"/>
      </right>
      <top style="dashed">
        <color auto="1"/>
      </top>
      <bottom/>
      <diagonal/>
    </border>
  </borders>
  <cellStyleXfs count="6">
    <xf numFmtId="0" fontId="0" fillId="0" borderId="0"/>
    <xf numFmtId="0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</cellStyleXfs>
  <cellXfs count="294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3" fontId="0" fillId="0" borderId="1" xfId="0" applyNumberFormat="1" applyBorder="1" applyAlignment="1">
      <alignment horizontal="right" vertical="center" wrapText="1"/>
    </xf>
    <xf numFmtId="16" fontId="0" fillId="0" borderId="1" xfId="0" applyNumberForma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8" fillId="0" borderId="0" xfId="0" applyFont="1"/>
    <xf numFmtId="0" fontId="6" fillId="4" borderId="2" xfId="0" applyFont="1" applyFill="1" applyBorder="1"/>
    <xf numFmtId="0" fontId="8" fillId="4" borderId="2" xfId="0" applyFont="1" applyFill="1" applyBorder="1" applyAlignment="1">
      <alignment horizontal="center"/>
    </xf>
    <xf numFmtId="164" fontId="8" fillId="4" borderId="2" xfId="0" applyNumberFormat="1" applyFont="1" applyFill="1" applyBorder="1"/>
    <xf numFmtId="0" fontId="8" fillId="4" borderId="2" xfId="0" applyFont="1" applyFill="1" applyBorder="1"/>
    <xf numFmtId="0" fontId="6" fillId="0" borderId="2" xfId="0" applyFont="1" applyBorder="1" applyAlignment="1">
      <alignment horizontal="center" vertical="center"/>
    </xf>
    <xf numFmtId="0" fontId="6" fillId="0" borderId="2" xfId="0" applyFont="1" applyBorder="1"/>
    <xf numFmtId="0" fontId="8" fillId="0" borderId="2" xfId="0" applyFont="1" applyBorder="1" applyAlignment="1">
      <alignment horizontal="center"/>
    </xf>
    <xf numFmtId="164" fontId="8" fillId="0" borderId="2" xfId="0" applyNumberFormat="1" applyFont="1" applyBorder="1"/>
    <xf numFmtId="0" fontId="8" fillId="0" borderId="2" xfId="0" applyFont="1" applyBorder="1"/>
    <xf numFmtId="0" fontId="6" fillId="0" borderId="2" xfId="0" applyFont="1" applyBorder="1" applyAlignment="1">
      <alignment horizontal="center"/>
    </xf>
    <xf numFmtId="164" fontId="6" fillId="0" borderId="2" xfId="0" applyNumberFormat="1" applyFont="1" applyBorder="1"/>
    <xf numFmtId="0" fontId="6" fillId="0" borderId="0" xfId="0" applyFont="1"/>
    <xf numFmtId="0" fontId="8" fillId="0" borderId="2" xfId="0" quotePrefix="1" applyFont="1" applyBorder="1"/>
    <xf numFmtId="16" fontId="8" fillId="0" borderId="0" xfId="0" applyNumberFormat="1" applyFont="1"/>
    <xf numFmtId="0" fontId="6" fillId="0" borderId="2" xfId="0" quotePrefix="1" applyFont="1" applyBorder="1"/>
    <xf numFmtId="0" fontId="6" fillId="4" borderId="2" xfId="0" applyFont="1" applyFill="1" applyBorder="1" applyAlignment="1">
      <alignment horizontal="center"/>
    </xf>
    <xf numFmtId="164" fontId="6" fillId="4" borderId="2" xfId="0" applyNumberFormat="1" applyFont="1" applyFill="1" applyBorder="1"/>
    <xf numFmtId="0" fontId="6" fillId="4" borderId="2" xfId="0" applyFont="1" applyFill="1" applyBorder="1" applyAlignment="1">
      <alignment horizontal="left"/>
    </xf>
    <xf numFmtId="0" fontId="8" fillId="0" borderId="2" xfId="0" applyFont="1" applyBorder="1" applyAlignment="1">
      <alignment horizontal="left"/>
    </xf>
    <xf numFmtId="164" fontId="8" fillId="0" borderId="2" xfId="0" applyNumberFormat="1" applyFont="1" applyBorder="1" applyAlignment="1">
      <alignment horizontal="right"/>
    </xf>
    <xf numFmtId="164" fontId="6" fillId="4" borderId="2" xfId="0" applyNumberFormat="1" applyFont="1" applyFill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0" fontId="8" fillId="5" borderId="2" xfId="0" applyFont="1" applyFill="1" applyBorder="1"/>
    <xf numFmtId="165" fontId="8" fillId="0" borderId="2" xfId="0" applyNumberFormat="1" applyFont="1" applyBorder="1"/>
    <xf numFmtId="166" fontId="8" fillId="0" borderId="2" xfId="0" applyNumberFormat="1" applyFont="1" applyBorder="1"/>
    <xf numFmtId="164" fontId="8" fillId="4" borderId="2" xfId="0" applyNumberFormat="1" applyFont="1" applyFill="1" applyBorder="1" applyAlignment="1">
      <alignment horizontal="center"/>
    </xf>
    <xf numFmtId="1" fontId="8" fillId="0" borderId="2" xfId="0" applyNumberFormat="1" applyFont="1" applyBorder="1"/>
    <xf numFmtId="2" fontId="8" fillId="0" borderId="2" xfId="0" applyNumberFormat="1" applyFont="1" applyBorder="1"/>
    <xf numFmtId="167" fontId="8" fillId="0" borderId="2" xfId="0" applyNumberFormat="1" applyFont="1" applyBorder="1"/>
    <xf numFmtId="168" fontId="8" fillId="0" borderId="2" xfId="0" applyNumberFormat="1" applyFont="1" applyBorder="1"/>
    <xf numFmtId="169" fontId="7" fillId="0" borderId="0" xfId="0" applyNumberFormat="1" applyFont="1"/>
    <xf numFmtId="0" fontId="4" fillId="0" borderId="0" xfId="0" applyFont="1"/>
    <xf numFmtId="0" fontId="1" fillId="0" borderId="0" xfId="1"/>
    <xf numFmtId="170" fontId="0" fillId="0" borderId="0" xfId="2" applyFont="1"/>
    <xf numFmtId="0" fontId="1" fillId="0" borderId="4" xfId="1" applyBorder="1"/>
    <xf numFmtId="170" fontId="0" fillId="0" borderId="5" xfId="2" applyFont="1" applyBorder="1"/>
    <xf numFmtId="0" fontId="1" fillId="0" borderId="5" xfId="1" applyBorder="1"/>
    <xf numFmtId="0" fontId="1" fillId="0" borderId="6" xfId="1" applyBorder="1"/>
    <xf numFmtId="0" fontId="1" fillId="0" borderId="7" xfId="1" applyBorder="1"/>
    <xf numFmtId="170" fontId="0" fillId="0" borderId="0" xfId="2" applyFont="1" applyBorder="1"/>
    <xf numFmtId="170" fontId="9" fillId="0" borderId="0" xfId="2" applyFont="1" applyFill="1" applyBorder="1" applyAlignment="1">
      <alignment vertical="center"/>
    </xf>
    <xf numFmtId="0" fontId="1" fillId="0" borderId="11" xfId="1" applyBorder="1"/>
    <xf numFmtId="170" fontId="2" fillId="0" borderId="17" xfId="2" applyFont="1" applyBorder="1" applyAlignment="1">
      <alignment horizontal="center" vertical="center"/>
    </xf>
    <xf numFmtId="170" fontId="2" fillId="0" borderId="0" xfId="2" applyFont="1" applyBorder="1" applyAlignment="1">
      <alignment horizontal="center" vertical="center"/>
    </xf>
    <xf numFmtId="170" fontId="11" fillId="0" borderId="18" xfId="2" applyFont="1" applyBorder="1"/>
    <xf numFmtId="170" fontId="0" fillId="0" borderId="19" xfId="2" applyFont="1" applyBorder="1"/>
    <xf numFmtId="170" fontId="0" fillId="0" borderId="18" xfId="2" applyFont="1" applyBorder="1"/>
    <xf numFmtId="170" fontId="12" fillId="0" borderId="0" xfId="2" applyFont="1" applyBorder="1"/>
    <xf numFmtId="171" fontId="2" fillId="0" borderId="19" xfId="1" applyNumberFormat="1" applyFont="1" applyBorder="1"/>
    <xf numFmtId="172" fontId="0" fillId="0" borderId="20" xfId="2" applyNumberFormat="1" applyFont="1" applyBorder="1"/>
    <xf numFmtId="172" fontId="0" fillId="0" borderId="19" xfId="2" applyNumberFormat="1" applyFont="1" applyBorder="1"/>
    <xf numFmtId="0" fontId="13" fillId="0" borderId="21" xfId="1" applyFont="1" applyBorder="1" applyAlignment="1">
      <alignment horizontal="right"/>
    </xf>
    <xf numFmtId="170" fontId="0" fillId="0" borderId="22" xfId="2" applyFont="1" applyBorder="1"/>
    <xf numFmtId="170" fontId="0" fillId="0" borderId="23" xfId="2" applyFont="1" applyBorder="1"/>
    <xf numFmtId="170" fontId="0" fillId="0" borderId="24" xfId="2" applyFont="1" applyBorder="1"/>
    <xf numFmtId="171" fontId="2" fillId="0" borderId="25" xfId="1" applyNumberFormat="1" applyFont="1" applyBorder="1"/>
    <xf numFmtId="170" fontId="12" fillId="0" borderId="18" xfId="2" applyFont="1" applyBorder="1" applyAlignment="1">
      <alignment horizontal="right"/>
    </xf>
    <xf numFmtId="170" fontId="12" fillId="0" borderId="0" xfId="2" applyFont="1" applyBorder="1" applyAlignment="1">
      <alignment horizontal="right"/>
    </xf>
    <xf numFmtId="0" fontId="1" fillId="0" borderId="19" xfId="1" applyBorder="1"/>
    <xf numFmtId="170" fontId="2" fillId="0" borderId="18" xfId="2" applyFont="1" applyBorder="1"/>
    <xf numFmtId="0" fontId="1" fillId="0" borderId="28" xfId="1" applyBorder="1"/>
    <xf numFmtId="43" fontId="2" fillId="0" borderId="25" xfId="1" applyNumberFormat="1" applyFont="1" applyBorder="1"/>
    <xf numFmtId="0" fontId="11" fillId="0" borderId="0" xfId="1" applyFont="1" applyAlignment="1">
      <alignment horizontal="right"/>
    </xf>
    <xf numFmtId="43" fontId="2" fillId="0" borderId="29" xfId="1" applyNumberFormat="1" applyFont="1" applyBorder="1"/>
    <xf numFmtId="165" fontId="0" fillId="0" borderId="19" xfId="2" applyNumberFormat="1" applyFont="1" applyBorder="1"/>
    <xf numFmtId="165" fontId="0" fillId="0" borderId="25" xfId="2" applyNumberFormat="1" applyFont="1" applyBorder="1"/>
    <xf numFmtId="170" fontId="1" fillId="0" borderId="0" xfId="1" applyNumberFormat="1"/>
    <xf numFmtId="165" fontId="0" fillId="0" borderId="31" xfId="2" applyNumberFormat="1" applyFont="1" applyBorder="1"/>
    <xf numFmtId="0" fontId="1" fillId="0" borderId="32" xfId="1" applyBorder="1"/>
    <xf numFmtId="170" fontId="0" fillId="0" borderId="33" xfId="2" applyFont="1" applyBorder="1"/>
    <xf numFmtId="0" fontId="1" fillId="0" borderId="33" xfId="1" applyBorder="1"/>
    <xf numFmtId="0" fontId="1" fillId="0" borderId="34" xfId="1" applyBorder="1"/>
    <xf numFmtId="170" fontId="0" fillId="0" borderId="0" xfId="3" applyFont="1"/>
    <xf numFmtId="170" fontId="0" fillId="0" borderId="5" xfId="3" applyFont="1" applyBorder="1"/>
    <xf numFmtId="170" fontId="0" fillId="0" borderId="0" xfId="3" applyFont="1" applyBorder="1"/>
    <xf numFmtId="0" fontId="2" fillId="0" borderId="7" xfId="1" applyFont="1" applyBorder="1" applyAlignment="1">
      <alignment horizontal="center" vertical="center"/>
    </xf>
    <xf numFmtId="170" fontId="2" fillId="0" borderId="16" xfId="3" applyFont="1" applyBorder="1" applyAlignment="1">
      <alignment horizontal="center" vertical="center"/>
    </xf>
    <xf numFmtId="170" fontId="2" fillId="0" borderId="17" xfId="3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7" xfId="1" applyFont="1" applyBorder="1"/>
    <xf numFmtId="170" fontId="11" fillId="0" borderId="18" xfId="3" applyFont="1" applyBorder="1"/>
    <xf numFmtId="170" fontId="2" fillId="0" borderId="0" xfId="3" applyFont="1" applyBorder="1"/>
    <xf numFmtId="170" fontId="2" fillId="0" borderId="35" xfId="3" applyFont="1" applyBorder="1"/>
    <xf numFmtId="170" fontId="2" fillId="0" borderId="19" xfId="3" applyFont="1" applyBorder="1"/>
    <xf numFmtId="0" fontId="2" fillId="0" borderId="11" xfId="1" applyFont="1" applyBorder="1"/>
    <xf numFmtId="0" fontId="2" fillId="0" borderId="0" xfId="1" applyFont="1"/>
    <xf numFmtId="170" fontId="0" fillId="0" borderId="18" xfId="3" applyFont="1" applyBorder="1"/>
    <xf numFmtId="170" fontId="0" fillId="0" borderId="36" xfId="3" applyFont="1" applyBorder="1"/>
    <xf numFmtId="171" fontId="2" fillId="0" borderId="37" xfId="1" applyNumberFormat="1" applyFont="1" applyBorder="1"/>
    <xf numFmtId="171" fontId="2" fillId="0" borderId="38" xfId="1" applyNumberFormat="1" applyFont="1" applyBorder="1"/>
    <xf numFmtId="170" fontId="0" fillId="0" borderId="35" xfId="3" applyFont="1" applyBorder="1"/>
    <xf numFmtId="171" fontId="2" fillId="0" borderId="39" xfId="1" applyNumberFormat="1" applyFont="1" applyBorder="1"/>
    <xf numFmtId="171" fontId="2" fillId="0" borderId="40" xfId="1" applyNumberFormat="1" applyFont="1" applyBorder="1"/>
    <xf numFmtId="170" fontId="13" fillId="0" borderId="0" xfId="3" applyFont="1" applyBorder="1" applyAlignment="1">
      <alignment horizontal="right"/>
    </xf>
    <xf numFmtId="170" fontId="2" fillId="0" borderId="41" xfId="3" applyFont="1" applyBorder="1"/>
    <xf numFmtId="171" fontId="2" fillId="0" borderId="42" xfId="1" applyNumberFormat="1" applyFont="1" applyBorder="1"/>
    <xf numFmtId="171" fontId="2" fillId="0" borderId="43" xfId="1" applyNumberFormat="1" applyFont="1" applyBorder="1"/>
    <xf numFmtId="170" fontId="0" fillId="0" borderId="19" xfId="3" applyFont="1" applyBorder="1"/>
    <xf numFmtId="170" fontId="12" fillId="0" borderId="0" xfId="3" applyFont="1" applyBorder="1"/>
    <xf numFmtId="173" fontId="1" fillId="0" borderId="0" xfId="1" applyNumberFormat="1"/>
    <xf numFmtId="170" fontId="0" fillId="0" borderId="44" xfId="3" applyFont="1" applyBorder="1"/>
    <xf numFmtId="171" fontId="1" fillId="0" borderId="45" xfId="1" applyNumberFormat="1" applyBorder="1"/>
    <xf numFmtId="170" fontId="0" fillId="0" borderId="45" xfId="3" applyFont="1" applyBorder="1"/>
    <xf numFmtId="171" fontId="1" fillId="0" borderId="38" xfId="1" applyNumberFormat="1" applyBorder="1"/>
    <xf numFmtId="170" fontId="0" fillId="0" borderId="46" xfId="3" applyFont="1" applyBorder="1"/>
    <xf numFmtId="171" fontId="1" fillId="0" borderId="47" xfId="1" applyNumberFormat="1" applyBorder="1"/>
    <xf numFmtId="170" fontId="0" fillId="0" borderId="47" xfId="3" applyFont="1" applyBorder="1"/>
    <xf numFmtId="170" fontId="12" fillId="0" borderId="0" xfId="3" applyFont="1" applyBorder="1" applyAlignment="1">
      <alignment horizontal="right"/>
    </xf>
    <xf numFmtId="170" fontId="2" fillId="0" borderId="48" xfId="3" applyFont="1" applyBorder="1"/>
    <xf numFmtId="171" fontId="2" fillId="0" borderId="49" xfId="1" applyNumberFormat="1" applyFont="1" applyBorder="1"/>
    <xf numFmtId="170" fontId="0" fillId="0" borderId="48" xfId="3" applyFont="1" applyBorder="1"/>
    <xf numFmtId="170" fontId="0" fillId="0" borderId="51" xfId="3" applyFont="1" applyBorder="1"/>
    <xf numFmtId="171" fontId="2" fillId="0" borderId="52" xfId="1" applyNumberFormat="1" applyFont="1" applyBorder="1"/>
    <xf numFmtId="170" fontId="0" fillId="0" borderId="53" xfId="3" applyFont="1" applyBorder="1"/>
    <xf numFmtId="170" fontId="0" fillId="0" borderId="54" xfId="3" applyFont="1" applyBorder="1"/>
    <xf numFmtId="171" fontId="1" fillId="0" borderId="46" xfId="1" applyNumberFormat="1" applyBorder="1"/>
    <xf numFmtId="171" fontId="1" fillId="0" borderId="51" xfId="1" applyNumberFormat="1" applyBorder="1"/>
    <xf numFmtId="171" fontId="2" fillId="0" borderId="47" xfId="1" applyNumberFormat="1" applyFont="1" applyBorder="1"/>
    <xf numFmtId="170" fontId="0" fillId="0" borderId="55" xfId="3" applyFont="1" applyBorder="1"/>
    <xf numFmtId="171" fontId="2" fillId="0" borderId="56" xfId="1" applyNumberFormat="1" applyFont="1" applyBorder="1"/>
    <xf numFmtId="170" fontId="0" fillId="0" borderId="57" xfId="3" applyFont="1" applyBorder="1"/>
    <xf numFmtId="170" fontId="0" fillId="0" borderId="58" xfId="3" applyFont="1" applyBorder="1"/>
    <xf numFmtId="170" fontId="2" fillId="0" borderId="49" xfId="3" applyFont="1" applyBorder="1"/>
    <xf numFmtId="170" fontId="2" fillId="0" borderId="59" xfId="3" applyFont="1" applyBorder="1"/>
    <xf numFmtId="170" fontId="2" fillId="0" borderId="60" xfId="3" applyFont="1" applyBorder="1"/>
    <xf numFmtId="171" fontId="2" fillId="0" borderId="61" xfId="1" applyNumberFormat="1" applyFont="1" applyBorder="1"/>
    <xf numFmtId="170" fontId="0" fillId="0" borderId="41" xfId="3" applyFont="1" applyBorder="1"/>
    <xf numFmtId="171" fontId="14" fillId="0" borderId="60" xfId="1" applyNumberFormat="1" applyFont="1" applyBorder="1"/>
    <xf numFmtId="171" fontId="14" fillId="0" borderId="61" xfId="1" applyNumberFormat="1" applyFont="1" applyBorder="1"/>
    <xf numFmtId="171" fontId="2" fillId="7" borderId="43" xfId="1" applyNumberFormat="1" applyFont="1" applyFill="1" applyBorder="1"/>
    <xf numFmtId="174" fontId="1" fillId="0" borderId="0" xfId="1" applyNumberFormat="1"/>
    <xf numFmtId="170" fontId="0" fillId="0" borderId="22" xfId="3" applyFont="1" applyBorder="1"/>
    <xf numFmtId="170" fontId="0" fillId="0" borderId="23" xfId="3" applyFont="1" applyBorder="1"/>
    <xf numFmtId="170" fontId="0" fillId="0" borderId="62" xfId="3" applyFont="1" applyBorder="1"/>
    <xf numFmtId="170" fontId="2" fillId="0" borderId="23" xfId="3" applyFont="1" applyBorder="1"/>
    <xf numFmtId="170" fontId="2" fillId="0" borderId="62" xfId="3" applyFont="1" applyBorder="1"/>
    <xf numFmtId="170" fontId="0" fillId="0" borderId="33" xfId="3" applyFont="1" applyBorder="1"/>
    <xf numFmtId="170" fontId="0" fillId="0" borderId="63" xfId="3" applyFont="1" applyBorder="1"/>
    <xf numFmtId="0" fontId="1" fillId="0" borderId="0" xfId="4"/>
    <xf numFmtId="170" fontId="0" fillId="0" borderId="0" xfId="5" applyFont="1"/>
    <xf numFmtId="0" fontId="1" fillId="0" borderId="4" xfId="4" applyBorder="1"/>
    <xf numFmtId="170" fontId="0" fillId="0" borderId="5" xfId="5" applyFont="1" applyBorder="1"/>
    <xf numFmtId="170" fontId="0" fillId="0" borderId="6" xfId="5" applyFont="1" applyBorder="1"/>
    <xf numFmtId="0" fontId="1" fillId="0" borderId="7" xfId="4" applyBorder="1"/>
    <xf numFmtId="170" fontId="0" fillId="0" borderId="0" xfId="5" applyFont="1" applyBorder="1"/>
    <xf numFmtId="170" fontId="0" fillId="0" borderId="11" xfId="5" applyFont="1" applyBorder="1"/>
    <xf numFmtId="0" fontId="15" fillId="0" borderId="7" xfId="4" applyFont="1" applyBorder="1"/>
    <xf numFmtId="170" fontId="16" fillId="6" borderId="15" xfId="5" applyFont="1" applyFill="1" applyBorder="1" applyAlignment="1">
      <alignment vertical="center"/>
    </xf>
    <xf numFmtId="170" fontId="16" fillId="6" borderId="16" xfId="5" applyFont="1" applyFill="1" applyBorder="1" applyAlignment="1">
      <alignment vertical="center"/>
    </xf>
    <xf numFmtId="170" fontId="16" fillId="6" borderId="17" xfId="5" applyFont="1" applyFill="1" applyBorder="1" applyAlignment="1">
      <alignment vertical="center"/>
    </xf>
    <xf numFmtId="170" fontId="15" fillId="0" borderId="11" xfId="5" applyFont="1" applyBorder="1"/>
    <xf numFmtId="170" fontId="15" fillId="0" borderId="0" xfId="5" applyFont="1"/>
    <xf numFmtId="0" fontId="15" fillId="0" borderId="0" xfId="4" applyFont="1"/>
    <xf numFmtId="170" fontId="2" fillId="0" borderId="16" xfId="5" applyFont="1" applyBorder="1" applyAlignment="1">
      <alignment horizontal="center" vertical="center"/>
    </xf>
    <xf numFmtId="170" fontId="2" fillId="0" borderId="17" xfId="5" applyFont="1" applyBorder="1" applyAlignment="1">
      <alignment horizontal="center" vertical="center"/>
    </xf>
    <xf numFmtId="170" fontId="0" fillId="0" borderId="18" xfId="5" applyFont="1" applyBorder="1"/>
    <xf numFmtId="170" fontId="0" fillId="0" borderId="35" xfId="5" applyFont="1" applyBorder="1"/>
    <xf numFmtId="170" fontId="0" fillId="0" borderId="19" xfId="5" applyFont="1" applyBorder="1"/>
    <xf numFmtId="170" fontId="2" fillId="0" borderId="18" xfId="5" applyFont="1" applyBorder="1"/>
    <xf numFmtId="171" fontId="17" fillId="0" borderId="60" xfId="1" applyNumberFormat="1" applyFont="1" applyBorder="1"/>
    <xf numFmtId="170" fontId="2" fillId="0" borderId="22" xfId="5" applyFont="1" applyBorder="1"/>
    <xf numFmtId="170" fontId="0" fillId="0" borderId="23" xfId="5" applyFont="1" applyBorder="1"/>
    <xf numFmtId="170" fontId="0" fillId="0" borderId="67" xfId="5" applyFont="1" applyBorder="1"/>
    <xf numFmtId="170" fontId="0" fillId="0" borderId="68" xfId="5" applyFont="1" applyBorder="1"/>
    <xf numFmtId="170" fontId="2" fillId="0" borderId="0" xfId="5" applyFont="1" applyBorder="1"/>
    <xf numFmtId="170" fontId="16" fillId="0" borderId="18" xfId="5" applyFont="1" applyFill="1" applyBorder="1" applyAlignment="1">
      <alignment vertical="center"/>
    </xf>
    <xf numFmtId="0" fontId="1" fillId="0" borderId="11" xfId="4" applyBorder="1"/>
    <xf numFmtId="170" fontId="2" fillId="0" borderId="18" xfId="5" applyFont="1" applyFill="1" applyBorder="1" applyAlignment="1">
      <alignment vertical="center"/>
    </xf>
    <xf numFmtId="170" fontId="1" fillId="0" borderId="0" xfId="4" applyNumberFormat="1"/>
    <xf numFmtId="170" fontId="0" fillId="0" borderId="18" xfId="5" applyFont="1" applyFill="1" applyBorder="1"/>
    <xf numFmtId="171" fontId="17" fillId="0" borderId="69" xfId="1" applyNumberFormat="1" applyFont="1" applyBorder="1"/>
    <xf numFmtId="171" fontId="18" fillId="0" borderId="18" xfId="1" applyNumberFormat="1" applyFont="1" applyBorder="1"/>
    <xf numFmtId="175" fontId="0" fillId="0" borderId="18" xfId="5" applyNumberFormat="1" applyFont="1" applyFill="1" applyBorder="1"/>
    <xf numFmtId="173" fontId="1" fillId="0" borderId="0" xfId="4" applyNumberFormat="1"/>
    <xf numFmtId="165" fontId="18" fillId="0" borderId="19" xfId="5" applyNumberFormat="1" applyFont="1" applyBorder="1"/>
    <xf numFmtId="176" fontId="18" fillId="0" borderId="18" xfId="1" applyNumberFormat="1" applyFont="1" applyBorder="1"/>
    <xf numFmtId="171" fontId="17" fillId="0" borderId="18" xfId="1" applyNumberFormat="1" applyFont="1" applyBorder="1"/>
    <xf numFmtId="165" fontId="0" fillId="0" borderId="24" xfId="5" applyNumberFormat="1" applyFont="1" applyBorder="1" applyAlignment="1">
      <alignment vertical="center"/>
    </xf>
    <xf numFmtId="170" fontId="0" fillId="0" borderId="19" xfId="5" applyFont="1" applyBorder="1" applyAlignment="1">
      <alignment horizontal="center"/>
    </xf>
    <xf numFmtId="9" fontId="0" fillId="0" borderId="25" xfId="5" applyNumberFormat="1" applyFont="1" applyBorder="1" applyAlignment="1">
      <alignment horizontal="center"/>
    </xf>
    <xf numFmtId="9" fontId="0" fillId="0" borderId="20" xfId="5" applyNumberFormat="1" applyFont="1" applyBorder="1" applyAlignment="1">
      <alignment horizontal="center"/>
    </xf>
    <xf numFmtId="171" fontId="18" fillId="0" borderId="69" xfId="1" applyNumberFormat="1" applyFont="1" applyBorder="1"/>
    <xf numFmtId="170" fontId="0" fillId="0" borderId="22" xfId="5" applyFont="1" applyBorder="1"/>
    <xf numFmtId="170" fontId="2" fillId="0" borderId="23" xfId="5" applyFont="1" applyBorder="1"/>
    <xf numFmtId="170" fontId="0" fillId="0" borderId="36" xfId="5" applyFont="1" applyBorder="1"/>
    <xf numFmtId="170" fontId="0" fillId="0" borderId="54" xfId="5" applyFont="1" applyBorder="1"/>
    <xf numFmtId="170" fontId="5" fillId="0" borderId="0" xfId="4" applyNumberFormat="1" applyFont="1"/>
    <xf numFmtId="177" fontId="0" fillId="0" borderId="54" xfId="5" applyNumberFormat="1" applyFont="1" applyBorder="1"/>
    <xf numFmtId="170" fontId="0" fillId="0" borderId="25" xfId="5" applyFont="1" applyBorder="1"/>
    <xf numFmtId="170" fontId="12" fillId="0" borderId="0" xfId="5" applyFont="1" applyBorder="1" applyAlignment="1">
      <alignment horizontal="right"/>
    </xf>
    <xf numFmtId="177" fontId="2" fillId="0" borderId="76" xfId="5" applyNumberFormat="1" applyFont="1" applyBorder="1"/>
    <xf numFmtId="170" fontId="0" fillId="0" borderId="77" xfId="5" applyFont="1" applyBorder="1"/>
    <xf numFmtId="170" fontId="2" fillId="0" borderId="0" xfId="5" applyFont="1" applyBorder="1" applyAlignment="1">
      <alignment vertical="top" wrapText="1"/>
    </xf>
    <xf numFmtId="172" fontId="14" fillId="0" borderId="41" xfId="5" applyNumberFormat="1" applyFont="1" applyBorder="1"/>
    <xf numFmtId="172" fontId="2" fillId="0" borderId="41" xfId="5" applyNumberFormat="1" applyFont="1" applyBorder="1"/>
    <xf numFmtId="172" fontId="17" fillId="0" borderId="79" xfId="1" applyNumberFormat="1" applyFont="1" applyBorder="1"/>
    <xf numFmtId="43" fontId="1" fillId="0" borderId="0" xfId="4" applyNumberFormat="1"/>
    <xf numFmtId="175" fontId="0" fillId="0" borderId="35" xfId="5" applyNumberFormat="1" applyFont="1" applyBorder="1"/>
    <xf numFmtId="172" fontId="0" fillId="0" borderId="35" xfId="5" applyNumberFormat="1" applyFont="1" applyBorder="1"/>
    <xf numFmtId="172" fontId="2" fillId="9" borderId="82" xfId="5" applyNumberFormat="1" applyFont="1" applyFill="1" applyBorder="1"/>
    <xf numFmtId="170" fontId="2" fillId="0" borderId="0" xfId="5" applyFont="1" applyBorder="1" applyAlignment="1">
      <alignment horizontal="right" vertical="top"/>
    </xf>
    <xf numFmtId="172" fontId="2" fillId="7" borderId="29" xfId="1" applyNumberFormat="1" applyFont="1" applyFill="1" applyBorder="1"/>
    <xf numFmtId="170" fontId="0" fillId="0" borderId="62" xfId="5" applyFont="1" applyBorder="1"/>
    <xf numFmtId="170" fontId="0" fillId="0" borderId="30" xfId="5" applyFont="1" applyBorder="1"/>
    <xf numFmtId="0" fontId="1" fillId="0" borderId="32" xfId="4" applyBorder="1"/>
    <xf numFmtId="170" fontId="0" fillId="0" borderId="33" xfId="5" applyFont="1" applyBorder="1"/>
    <xf numFmtId="170" fontId="0" fillId="0" borderId="34" xfId="5" applyFont="1" applyBorder="1"/>
    <xf numFmtId="177" fontId="1" fillId="0" borderId="0" xfId="4" applyNumberFormat="1"/>
    <xf numFmtId="43" fontId="2" fillId="0" borderId="0" xfId="1" applyNumberFormat="1" applyFont="1"/>
    <xf numFmtId="170" fontId="2" fillId="0" borderId="0" xfId="2" applyFont="1" applyBorder="1"/>
    <xf numFmtId="170" fontId="0" fillId="0" borderId="83" xfId="2" applyFont="1" applyBorder="1"/>
    <xf numFmtId="0" fontId="1" fillId="0" borderId="84" xfId="1" applyBorder="1"/>
    <xf numFmtId="0" fontId="1" fillId="0" borderId="85" xfId="1" applyBorder="1"/>
    <xf numFmtId="164" fontId="6" fillId="0" borderId="3" xfId="0" applyNumberFormat="1" applyFont="1" applyBorder="1"/>
    <xf numFmtId="170" fontId="0" fillId="0" borderId="39" xfId="3" applyFont="1" applyBorder="1"/>
    <xf numFmtId="171" fontId="1" fillId="0" borderId="86" xfId="1" applyNumberFormat="1" applyBorder="1"/>
    <xf numFmtId="0" fontId="6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70" fontId="2" fillId="0" borderId="0" xfId="2" applyFont="1" applyBorder="1" applyAlignment="1">
      <alignment horizontal="center" vertical="center"/>
    </xf>
    <xf numFmtId="170" fontId="12" fillId="0" borderId="18" xfId="2" applyFont="1" applyBorder="1" applyAlignment="1">
      <alignment horizontal="right"/>
    </xf>
    <xf numFmtId="170" fontId="12" fillId="0" borderId="0" xfId="2" applyFont="1" applyBorder="1" applyAlignment="1">
      <alignment horizontal="right"/>
    </xf>
    <xf numFmtId="170" fontId="12" fillId="0" borderId="21" xfId="2" applyFont="1" applyBorder="1" applyAlignment="1">
      <alignment horizontal="right"/>
    </xf>
    <xf numFmtId="170" fontId="13" fillId="0" borderId="18" xfId="2" applyFont="1" applyBorder="1" applyAlignment="1">
      <alignment horizontal="right"/>
    </xf>
    <xf numFmtId="170" fontId="13" fillId="0" borderId="0" xfId="2" applyFont="1" applyBorder="1" applyAlignment="1">
      <alignment horizontal="right"/>
    </xf>
    <xf numFmtId="170" fontId="13" fillId="0" borderId="21" xfId="2" applyFont="1" applyBorder="1" applyAlignment="1">
      <alignment horizontal="right"/>
    </xf>
    <xf numFmtId="170" fontId="10" fillId="6" borderId="8" xfId="2" applyFont="1" applyFill="1" applyBorder="1" applyAlignment="1">
      <alignment horizontal="center" vertical="center"/>
    </xf>
    <xf numFmtId="170" fontId="10" fillId="6" borderId="9" xfId="2" applyFont="1" applyFill="1" applyBorder="1" applyAlignment="1">
      <alignment horizontal="center" vertical="center"/>
    </xf>
    <xf numFmtId="170" fontId="10" fillId="6" borderId="10" xfId="2" applyFont="1" applyFill="1" applyBorder="1" applyAlignment="1">
      <alignment horizontal="center" vertical="center"/>
    </xf>
    <xf numFmtId="170" fontId="10" fillId="6" borderId="12" xfId="2" applyFont="1" applyFill="1" applyBorder="1" applyAlignment="1">
      <alignment horizontal="center" vertical="center"/>
    </xf>
    <xf numFmtId="170" fontId="10" fillId="6" borderId="13" xfId="2" applyFont="1" applyFill="1" applyBorder="1" applyAlignment="1">
      <alignment horizontal="center" vertical="center"/>
    </xf>
    <xf numFmtId="170" fontId="10" fillId="6" borderId="14" xfId="2" applyFont="1" applyFill="1" applyBorder="1" applyAlignment="1">
      <alignment horizontal="center" vertical="center"/>
    </xf>
    <xf numFmtId="170" fontId="2" fillId="0" borderId="15" xfId="2" applyFont="1" applyBorder="1" applyAlignment="1">
      <alignment horizontal="center" vertical="center"/>
    </xf>
    <xf numFmtId="170" fontId="2" fillId="0" borderId="16" xfId="2" applyFont="1" applyBorder="1" applyAlignment="1">
      <alignment horizontal="center" vertical="center"/>
    </xf>
    <xf numFmtId="170" fontId="2" fillId="0" borderId="26" xfId="2" applyFont="1" applyBorder="1" applyAlignment="1">
      <alignment horizontal="center" vertical="center"/>
    </xf>
    <xf numFmtId="170" fontId="2" fillId="0" borderId="27" xfId="2" applyFont="1" applyBorder="1" applyAlignment="1">
      <alignment horizontal="center" vertical="center"/>
    </xf>
    <xf numFmtId="170" fontId="10" fillId="6" borderId="1" xfId="3" applyFont="1" applyFill="1" applyBorder="1" applyAlignment="1">
      <alignment horizontal="center" vertical="center"/>
    </xf>
    <xf numFmtId="170" fontId="2" fillId="0" borderId="15" xfId="3" applyFont="1" applyBorder="1" applyAlignment="1">
      <alignment horizontal="center" vertical="center"/>
    </xf>
    <xf numFmtId="170" fontId="2" fillId="0" borderId="16" xfId="3" applyFont="1" applyBorder="1" applyAlignment="1">
      <alignment horizontal="center" vertical="center"/>
    </xf>
    <xf numFmtId="170" fontId="2" fillId="0" borderId="15" xfId="5" applyFont="1" applyBorder="1" applyAlignment="1">
      <alignment horizontal="center" vertical="center"/>
    </xf>
    <xf numFmtId="170" fontId="2" fillId="0" borderId="16" xfId="5" applyFont="1" applyBorder="1" applyAlignment="1">
      <alignment horizontal="center" vertical="center"/>
    </xf>
    <xf numFmtId="170" fontId="2" fillId="0" borderId="64" xfId="5" applyFont="1" applyBorder="1" applyAlignment="1">
      <alignment horizontal="center" vertical="center"/>
    </xf>
    <xf numFmtId="170" fontId="2" fillId="0" borderId="27" xfId="5" applyFont="1" applyBorder="1" applyAlignment="1">
      <alignment horizontal="center" vertical="center"/>
    </xf>
    <xf numFmtId="170" fontId="9" fillId="8" borderId="8" xfId="5" applyFont="1" applyFill="1" applyBorder="1" applyAlignment="1">
      <alignment horizontal="center" vertical="center" wrapText="1"/>
    </xf>
    <xf numFmtId="170" fontId="9" fillId="8" borderId="9" xfId="5" applyFont="1" applyFill="1" applyBorder="1" applyAlignment="1">
      <alignment horizontal="center" vertical="center" wrapText="1"/>
    </xf>
    <xf numFmtId="170" fontId="9" fillId="8" borderId="10" xfId="5" applyFont="1" applyFill="1" applyBorder="1" applyAlignment="1">
      <alignment horizontal="center" vertical="center" wrapText="1"/>
    </xf>
    <xf numFmtId="170" fontId="9" fillId="8" borderId="12" xfId="5" applyFont="1" applyFill="1" applyBorder="1" applyAlignment="1">
      <alignment horizontal="center" vertical="center" wrapText="1"/>
    </xf>
    <xf numFmtId="170" fontId="9" fillId="8" borderId="13" xfId="5" applyFont="1" applyFill="1" applyBorder="1" applyAlignment="1">
      <alignment horizontal="center" vertical="center" wrapText="1"/>
    </xf>
    <xf numFmtId="170" fontId="9" fillId="8" borderId="14" xfId="5" applyFont="1" applyFill="1" applyBorder="1" applyAlignment="1">
      <alignment horizontal="center" vertical="center" wrapText="1"/>
    </xf>
    <xf numFmtId="170" fontId="0" fillId="0" borderId="65" xfId="5" applyFont="1" applyBorder="1" applyAlignment="1">
      <alignment horizontal="center"/>
    </xf>
    <xf numFmtId="170" fontId="0" fillId="0" borderId="66" xfId="5" applyFont="1" applyBorder="1" applyAlignment="1">
      <alignment horizontal="center"/>
    </xf>
    <xf numFmtId="170" fontId="0" fillId="0" borderId="62" xfId="5" applyFont="1" applyBorder="1" applyAlignment="1">
      <alignment horizontal="center"/>
    </xf>
    <xf numFmtId="170" fontId="0" fillId="0" borderId="50" xfId="5" applyFont="1" applyBorder="1" applyAlignment="1">
      <alignment horizontal="center"/>
    </xf>
    <xf numFmtId="170" fontId="16" fillId="6" borderId="26" xfId="5" applyFont="1" applyFill="1" applyBorder="1" applyAlignment="1">
      <alignment horizontal="center" vertical="center"/>
    </xf>
    <xf numFmtId="170" fontId="16" fillId="6" borderId="67" xfId="5" applyFont="1" applyFill="1" applyBorder="1" applyAlignment="1">
      <alignment horizontal="center" vertical="center"/>
    </xf>
    <xf numFmtId="170" fontId="2" fillId="0" borderId="26" xfId="5" applyFont="1" applyBorder="1" applyAlignment="1">
      <alignment horizontal="center" vertical="center"/>
    </xf>
    <xf numFmtId="170" fontId="2" fillId="0" borderId="67" xfId="5" applyFont="1" applyBorder="1" applyAlignment="1">
      <alignment horizontal="center" vertical="center"/>
    </xf>
    <xf numFmtId="170" fontId="2" fillId="0" borderId="0" xfId="5" applyFont="1" applyBorder="1" applyAlignment="1">
      <alignment horizontal="right"/>
    </xf>
    <xf numFmtId="170" fontId="2" fillId="0" borderId="0" xfId="5" applyFont="1" applyBorder="1" applyAlignment="1">
      <alignment horizontal="center"/>
    </xf>
    <xf numFmtId="170" fontId="2" fillId="0" borderId="21" xfId="5" applyFont="1" applyBorder="1" applyAlignment="1">
      <alignment horizontal="center"/>
    </xf>
    <xf numFmtId="170" fontId="16" fillId="6" borderId="15" xfId="5" applyFont="1" applyFill="1" applyBorder="1" applyAlignment="1">
      <alignment horizontal="center" vertical="center"/>
    </xf>
    <xf numFmtId="170" fontId="16" fillId="6" borderId="16" xfId="5" applyFont="1" applyFill="1" applyBorder="1" applyAlignment="1">
      <alignment horizontal="center" vertical="center"/>
    </xf>
    <xf numFmtId="170" fontId="16" fillId="6" borderId="17" xfId="5" applyFont="1" applyFill="1" applyBorder="1" applyAlignment="1">
      <alignment horizontal="center" vertical="center"/>
    </xf>
    <xf numFmtId="172" fontId="2" fillId="0" borderId="42" xfId="5" applyNumberFormat="1" applyFont="1" applyBorder="1" applyAlignment="1">
      <alignment horizontal="center"/>
    </xf>
    <xf numFmtId="172" fontId="2" fillId="0" borderId="78" xfId="5" applyNumberFormat="1" applyFont="1" applyBorder="1" applyAlignment="1">
      <alignment horizontal="center"/>
    </xf>
    <xf numFmtId="172" fontId="0" fillId="0" borderId="70" xfId="5" applyNumberFormat="1" applyFont="1" applyBorder="1" applyAlignment="1">
      <alignment horizontal="center"/>
    </xf>
    <xf numFmtId="172" fontId="0" fillId="0" borderId="71" xfId="5" applyNumberFormat="1" applyFont="1" applyBorder="1" applyAlignment="1">
      <alignment horizontal="center"/>
    </xf>
    <xf numFmtId="175" fontId="0" fillId="0" borderId="72" xfId="5" applyNumberFormat="1" applyFont="1" applyBorder="1" applyAlignment="1">
      <alignment horizontal="center"/>
    </xf>
    <xf numFmtId="175" fontId="0" fillId="0" borderId="73" xfId="5" applyNumberFormat="1" applyFont="1" applyBorder="1" applyAlignment="1">
      <alignment horizontal="center"/>
    </xf>
    <xf numFmtId="177" fontId="0" fillId="0" borderId="72" xfId="5" applyNumberFormat="1" applyFont="1" applyBorder="1" applyAlignment="1">
      <alignment horizontal="center"/>
    </xf>
    <xf numFmtId="177" fontId="0" fillId="0" borderId="73" xfId="5" applyNumberFormat="1" applyFont="1" applyBorder="1" applyAlignment="1">
      <alignment horizontal="center"/>
    </xf>
    <xf numFmtId="170" fontId="0" fillId="0" borderId="72" xfId="5" applyFont="1" applyBorder="1" applyAlignment="1">
      <alignment horizontal="center"/>
    </xf>
    <xf numFmtId="170" fontId="0" fillId="0" borderId="73" xfId="5" applyFont="1" applyBorder="1" applyAlignment="1">
      <alignment horizontal="center"/>
    </xf>
    <xf numFmtId="172" fontId="2" fillId="0" borderId="74" xfId="5" applyNumberFormat="1" applyFont="1" applyBorder="1" applyAlignment="1">
      <alignment horizontal="center"/>
    </xf>
    <xf numFmtId="172" fontId="2" fillId="0" borderId="75" xfId="5" applyNumberFormat="1" applyFont="1" applyBorder="1" applyAlignment="1">
      <alignment horizontal="center"/>
    </xf>
    <xf numFmtId="175" fontId="0" fillId="0" borderId="42" xfId="5" applyNumberFormat="1" applyFont="1" applyBorder="1" applyAlignment="1">
      <alignment horizontal="center"/>
    </xf>
    <xf numFmtId="175" fontId="0" fillId="0" borderId="78" xfId="5" applyNumberFormat="1" applyFont="1" applyBorder="1" applyAlignment="1">
      <alignment horizontal="center"/>
    </xf>
    <xf numFmtId="175" fontId="0" fillId="0" borderId="80" xfId="5" applyNumberFormat="1" applyFont="1" applyBorder="1" applyAlignment="1">
      <alignment horizontal="center"/>
    </xf>
    <xf numFmtId="175" fontId="0" fillId="0" borderId="81" xfId="5" applyNumberFormat="1" applyFont="1" applyBorder="1" applyAlignment="1">
      <alignment horizontal="center"/>
    </xf>
  </cellXfs>
  <cellStyles count="6">
    <cellStyle name="Comma 2 2" xfId="2" xr:uid="{8F02B63F-D3CF-4C20-80B4-DE03E3D34E31}"/>
    <cellStyle name="Comma 3 2" xfId="3" xr:uid="{358A4EC0-C98C-4F92-909D-78A5B3AD6722}"/>
    <cellStyle name="Comma 4" xfId="5" xr:uid="{36D896C4-B1D1-414C-B3F3-439D17DEBA00}"/>
    <cellStyle name="Normal" xfId="0" builtinId="0"/>
    <cellStyle name="Normal 2 2" xfId="1" xr:uid="{EE73956F-1A08-474D-9858-A6E7617F3AD9}"/>
    <cellStyle name="Normal 3" xfId="4" xr:uid="{09DC6303-05F9-405F-B7D8-1BB75208E6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aila\Documents\LAILA%202026\SINERGI%202026\TRIWULAN%20II%202026\6.%20JUNI%202026\PELATIHAN%20BP\MANAJEMEN%20KEUANGAN\BEP%20AUT%20PADI%20NON%20RAWA%2025%20Ha%20(Operasinal%20Aslintan)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0. RENCANA USAHA 25 HA"/>
      <sheetName val="RENCANA KEGIATAN"/>
      <sheetName val="1. INPUT SAPRODI"/>
      <sheetName val="2. INPUT TENAGA KERJA"/>
      <sheetName val="3. INPUT LAIN"/>
      <sheetName val="4. PROD &amp; PENDAPATAN"/>
      <sheetName val="AUT unt BE"/>
      <sheetName val="5. LABA RUGI"/>
      <sheetName val="versi 2. LABA RUGI (2)"/>
      <sheetName val="6. CATATAN TRANSAKSI HARIAN"/>
      <sheetName val="7. ARUS KAS"/>
      <sheetName val="8. ARUS KAS PASCA BIAYA"/>
      <sheetName val="9. BAGI HASIL"/>
      <sheetName val="10 Pengelolaan Keuntungan"/>
      <sheetName val="11. Penggunaan Alsintan"/>
      <sheetName val="12 jasa alsin eksternal"/>
      <sheetName val="13. arus kas BP setahu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06123-E411-4B74-AF1C-833887527AF8}">
  <dimension ref="A1:W989"/>
  <sheetViews>
    <sheetView tabSelected="1" topLeftCell="A25" zoomScaleNormal="100" workbookViewId="0">
      <selection activeCell="J40" sqref="J40"/>
    </sheetView>
  </sheetViews>
  <sheetFormatPr defaultColWidth="14.42578125" defaultRowHeight="15" customHeight="1" x14ac:dyDescent="0.25"/>
  <cols>
    <col min="1" max="1" width="5.42578125" customWidth="1"/>
    <col min="2" max="2" width="43" customWidth="1"/>
    <col min="3" max="3" width="11.85546875" customWidth="1"/>
    <col min="4" max="4" width="10.28515625" customWidth="1"/>
    <col min="5" max="5" width="23.7109375" customWidth="1"/>
    <col min="6" max="6" width="17.5703125" customWidth="1"/>
    <col min="7" max="7" width="13.85546875" customWidth="1"/>
    <col min="8" max="23" width="8.7109375" customWidth="1"/>
  </cols>
  <sheetData>
    <row r="1" spans="1:23" ht="14.25" customHeight="1" x14ac:dyDescent="0.25">
      <c r="A1" s="230" t="s">
        <v>186</v>
      </c>
      <c r="B1" s="231"/>
      <c r="C1" s="231"/>
      <c r="D1" s="231"/>
      <c r="E1" s="231"/>
      <c r="F1" s="231"/>
    </row>
    <row r="2" spans="1:23" ht="14.25" customHeight="1" x14ac:dyDescent="0.25">
      <c r="A2" s="230" t="s">
        <v>187</v>
      </c>
      <c r="B2" s="231"/>
      <c r="C2" s="231"/>
      <c r="D2" s="231"/>
      <c r="E2" s="231"/>
      <c r="F2" s="231"/>
    </row>
    <row r="3" spans="1:23" ht="14.25" customHeight="1" x14ac:dyDescent="0.25">
      <c r="A3" s="230" t="s">
        <v>188</v>
      </c>
      <c r="B3" s="231"/>
      <c r="C3" s="231"/>
      <c r="D3" s="231"/>
      <c r="E3" s="231"/>
      <c r="F3" s="231"/>
    </row>
    <row r="4" spans="1:23" ht="14.25" customHeight="1" x14ac:dyDescent="0.25">
      <c r="A4" s="230"/>
      <c r="B4" s="231"/>
      <c r="C4" s="231"/>
      <c r="D4" s="231"/>
      <c r="E4" s="231"/>
    </row>
    <row r="5" spans="1:23" ht="14.25" customHeight="1" x14ac:dyDescent="0.25">
      <c r="C5" s="9"/>
      <c r="D5" s="9"/>
    </row>
    <row r="6" spans="1:23" ht="30" customHeight="1" x14ac:dyDescent="0.25">
      <c r="A6" s="10" t="s">
        <v>75</v>
      </c>
      <c r="B6" s="10" t="s">
        <v>76</v>
      </c>
      <c r="C6" s="10" t="s">
        <v>77</v>
      </c>
      <c r="D6" s="10" t="s">
        <v>78</v>
      </c>
      <c r="E6" s="10" t="s">
        <v>79</v>
      </c>
      <c r="F6" s="10" t="s">
        <v>80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spans="1:23" ht="14.25" customHeight="1" x14ac:dyDescent="0.25">
      <c r="A7" s="12" t="s">
        <v>81</v>
      </c>
      <c r="B7" s="12" t="s">
        <v>82</v>
      </c>
      <c r="C7" s="13"/>
      <c r="D7" s="13"/>
      <c r="E7" s="14"/>
      <c r="F7" s="15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23" ht="14.25" customHeight="1" x14ac:dyDescent="0.25">
      <c r="A8" s="16" t="s">
        <v>83</v>
      </c>
      <c r="B8" s="17" t="s">
        <v>84</v>
      </c>
      <c r="C8" s="18"/>
      <c r="D8" s="18"/>
      <c r="E8" s="19"/>
      <c r="F8" s="20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spans="1:23" ht="14.25" customHeight="1" x14ac:dyDescent="0.25">
      <c r="A9" s="20">
        <v>1</v>
      </c>
      <c r="B9" s="20" t="s">
        <v>85</v>
      </c>
      <c r="C9" s="18">
        <v>25</v>
      </c>
      <c r="D9" s="18" t="s">
        <v>0</v>
      </c>
      <c r="E9" s="19">
        <v>16500</v>
      </c>
      <c r="F9" s="19">
        <f t="shared" ref="F9:F15" si="0">C9*E9</f>
        <v>412500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spans="1:23" ht="14.25" customHeight="1" x14ac:dyDescent="0.25">
      <c r="A10" s="20">
        <v>2</v>
      </c>
      <c r="B10" s="20" t="s">
        <v>86</v>
      </c>
      <c r="C10" s="18">
        <v>140</v>
      </c>
      <c r="D10" s="18" t="s">
        <v>0</v>
      </c>
      <c r="E10" s="19">
        <f>115000/50</f>
        <v>2300</v>
      </c>
      <c r="F10" s="19">
        <f t="shared" si="0"/>
        <v>322000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 spans="1:23" ht="14.25" customHeight="1" x14ac:dyDescent="0.25">
      <c r="A11" s="20">
        <v>3</v>
      </c>
      <c r="B11" s="20" t="s">
        <v>87</v>
      </c>
      <c r="C11" s="18">
        <v>230</v>
      </c>
      <c r="D11" s="18" t="s">
        <v>0</v>
      </c>
      <c r="E11" s="19">
        <f>112500/50</f>
        <v>2250</v>
      </c>
      <c r="F11" s="19">
        <f t="shared" si="0"/>
        <v>517500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 ht="14.25" customHeight="1" x14ac:dyDescent="0.25">
      <c r="A12" s="20">
        <v>4</v>
      </c>
      <c r="B12" s="20" t="s">
        <v>189</v>
      </c>
      <c r="C12" s="18">
        <v>5</v>
      </c>
      <c r="D12" s="18" t="s">
        <v>1</v>
      </c>
      <c r="E12" s="19">
        <v>60000</v>
      </c>
      <c r="F12" s="19">
        <f t="shared" si="0"/>
        <v>300000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3" ht="14.25" customHeight="1" x14ac:dyDescent="0.25">
      <c r="A13" s="20">
        <v>5</v>
      </c>
      <c r="B13" s="20" t="s">
        <v>88</v>
      </c>
      <c r="C13" s="18">
        <v>7</v>
      </c>
      <c r="D13" s="18" t="s">
        <v>2</v>
      </c>
      <c r="E13" s="19">
        <v>16000</v>
      </c>
      <c r="F13" s="19">
        <f t="shared" si="0"/>
        <v>112000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pans="1:23" ht="14.25" customHeight="1" x14ac:dyDescent="0.25">
      <c r="A14" s="20">
        <v>6</v>
      </c>
      <c r="B14" s="20" t="s">
        <v>89</v>
      </c>
      <c r="C14" s="18">
        <v>1</v>
      </c>
      <c r="D14" s="18" t="s">
        <v>3</v>
      </c>
      <c r="E14" s="19">
        <v>505000</v>
      </c>
      <c r="F14" s="19">
        <f t="shared" si="0"/>
        <v>505000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3" ht="14.25" customHeight="1" x14ac:dyDescent="0.25">
      <c r="A15" s="20">
        <v>7</v>
      </c>
      <c r="B15" s="20" t="s">
        <v>90</v>
      </c>
      <c r="C15" s="18">
        <v>140</v>
      </c>
      <c r="D15" s="18" t="s">
        <v>4</v>
      </c>
      <c r="E15" s="19">
        <v>2000</v>
      </c>
      <c r="F15" s="19">
        <f t="shared" si="0"/>
        <v>280000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spans="1:23" ht="14.25" customHeight="1" x14ac:dyDescent="0.25">
      <c r="A16" s="17"/>
      <c r="B16" s="17" t="s">
        <v>91</v>
      </c>
      <c r="C16" s="21"/>
      <c r="D16" s="21"/>
      <c r="E16" s="22"/>
      <c r="F16" s="22">
        <f>SUM(F9:F15)</f>
        <v>2449000</v>
      </c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</row>
    <row r="17" spans="1:23" ht="14.25" customHeight="1" x14ac:dyDescent="0.25">
      <c r="A17" s="20"/>
      <c r="B17" s="20"/>
      <c r="C17" s="18"/>
      <c r="D17" s="18"/>
      <c r="E17" s="19"/>
      <c r="F17" s="20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 ht="14.25" customHeight="1" x14ac:dyDescent="0.25">
      <c r="A18" s="16" t="s">
        <v>92</v>
      </c>
      <c r="B18" s="17" t="s">
        <v>93</v>
      </c>
      <c r="C18" s="18"/>
      <c r="D18" s="18"/>
      <c r="E18" s="19"/>
      <c r="F18" s="20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 ht="14.25" customHeight="1" x14ac:dyDescent="0.25">
      <c r="A19" s="20">
        <v>1</v>
      </c>
      <c r="B19" s="24" t="s">
        <v>94</v>
      </c>
      <c r="C19" s="18">
        <v>1</v>
      </c>
      <c r="D19" s="18" t="s">
        <v>3</v>
      </c>
      <c r="E19" s="19">
        <v>2100000</v>
      </c>
      <c r="F19" s="19">
        <f>C19*E19</f>
        <v>2100000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 ht="14.25" customHeight="1" x14ac:dyDescent="0.25">
      <c r="A20" s="20">
        <v>2</v>
      </c>
      <c r="B20" s="24" t="s">
        <v>95</v>
      </c>
      <c r="C20" s="18">
        <v>1</v>
      </c>
      <c r="D20" s="18" t="s">
        <v>3</v>
      </c>
      <c r="E20" s="19">
        <f>300000*7</f>
        <v>2100000</v>
      </c>
      <c r="F20" s="19">
        <f>C20*E20</f>
        <v>2100000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spans="1:23" ht="14.25" customHeight="1" x14ac:dyDescent="0.25">
      <c r="A21" s="20">
        <v>3</v>
      </c>
      <c r="B21" s="24" t="s">
        <v>96</v>
      </c>
      <c r="C21" s="18">
        <v>1</v>
      </c>
      <c r="D21" s="18" t="s">
        <v>3</v>
      </c>
      <c r="E21" s="19">
        <f>350000*7</f>
        <v>2450000</v>
      </c>
      <c r="F21" s="19">
        <f>C21*E21</f>
        <v>2450000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 spans="1:23" ht="14.25" customHeight="1" x14ac:dyDescent="0.25">
      <c r="A22" s="20">
        <v>4</v>
      </c>
      <c r="B22" s="24" t="s">
        <v>97</v>
      </c>
      <c r="C22" s="18">
        <v>1</v>
      </c>
      <c r="D22" s="18" t="s">
        <v>3</v>
      </c>
      <c r="E22" s="19">
        <v>1500000</v>
      </c>
      <c r="F22" s="19">
        <f>C22*E22</f>
        <v>1500000</v>
      </c>
      <c r="G22" s="25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spans="1:23" ht="14.25" customHeight="1" x14ac:dyDescent="0.25">
      <c r="A23" s="17"/>
      <c r="B23" s="23" t="s">
        <v>91</v>
      </c>
      <c r="C23" s="23"/>
      <c r="D23" s="23"/>
      <c r="E23" s="23"/>
      <c r="F23" s="227">
        <f>SUM(F19:F22)</f>
        <v>8150000</v>
      </c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</row>
    <row r="24" spans="1:23" ht="14.25" customHeight="1" x14ac:dyDescent="0.25">
      <c r="A24" s="20"/>
      <c r="B24" s="20"/>
      <c r="C24" s="18"/>
      <c r="D24" s="18"/>
      <c r="E24" s="19"/>
      <c r="F24" s="20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 spans="1:23" ht="14.25" customHeight="1" x14ac:dyDescent="0.25">
      <c r="A25" s="16" t="s">
        <v>98</v>
      </c>
      <c r="B25" s="26" t="s">
        <v>99</v>
      </c>
      <c r="C25" s="18"/>
      <c r="D25" s="18"/>
      <c r="E25" s="19"/>
      <c r="F25" s="20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 spans="1:23" ht="14.25" customHeight="1" x14ac:dyDescent="0.25">
      <c r="A26" s="20">
        <v>1</v>
      </c>
      <c r="B26" s="20" t="s">
        <v>100</v>
      </c>
      <c r="C26" s="18">
        <v>1</v>
      </c>
      <c r="D26" s="18" t="s">
        <v>5</v>
      </c>
      <c r="E26" s="19">
        <v>120000</v>
      </c>
      <c r="F26" s="19">
        <f t="shared" ref="F26:F33" si="1">C26*E26</f>
        <v>120000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 ht="14.25" customHeight="1" x14ac:dyDescent="0.25">
      <c r="A27" s="20">
        <v>2</v>
      </c>
      <c r="B27" s="20" t="s">
        <v>101</v>
      </c>
      <c r="C27" s="18">
        <v>2</v>
      </c>
      <c r="D27" s="18" t="s">
        <v>5</v>
      </c>
      <c r="E27" s="19">
        <v>120000</v>
      </c>
      <c r="F27" s="19">
        <f t="shared" si="1"/>
        <v>240000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 spans="1:23" ht="14.25" customHeight="1" x14ac:dyDescent="0.25">
      <c r="A28" s="20">
        <v>3</v>
      </c>
      <c r="B28" s="24" t="s">
        <v>102</v>
      </c>
      <c r="C28" s="18">
        <v>3</v>
      </c>
      <c r="D28" s="18" t="s">
        <v>5</v>
      </c>
      <c r="E28" s="19">
        <v>120000</v>
      </c>
      <c r="F28" s="19">
        <f t="shared" si="1"/>
        <v>360000</v>
      </c>
      <c r="G28" s="25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 ht="14.25" customHeight="1" x14ac:dyDescent="0.25">
      <c r="A29" s="20">
        <v>4</v>
      </c>
      <c r="B29" s="24" t="s">
        <v>190</v>
      </c>
      <c r="C29" s="18">
        <v>4</v>
      </c>
      <c r="D29" s="18" t="s">
        <v>5</v>
      </c>
      <c r="E29" s="19">
        <v>120000</v>
      </c>
      <c r="F29" s="19">
        <f t="shared" si="1"/>
        <v>480000</v>
      </c>
      <c r="G29" s="25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4.25" customHeight="1" x14ac:dyDescent="0.25">
      <c r="A30" s="20">
        <v>5</v>
      </c>
      <c r="B30" s="24" t="s">
        <v>191</v>
      </c>
      <c r="C30" s="18">
        <v>4</v>
      </c>
      <c r="D30" s="18" t="s">
        <v>5</v>
      </c>
      <c r="E30" s="19">
        <v>120000</v>
      </c>
      <c r="F30" s="19">
        <f t="shared" si="1"/>
        <v>480000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spans="1:23" ht="14.25" customHeight="1" x14ac:dyDescent="0.25">
      <c r="A31" s="20">
        <v>6</v>
      </c>
      <c r="B31" s="24" t="s">
        <v>103</v>
      </c>
      <c r="C31" s="18">
        <v>8</v>
      </c>
      <c r="D31" s="18" t="s">
        <v>5</v>
      </c>
      <c r="E31" s="19">
        <v>120000</v>
      </c>
      <c r="F31" s="19">
        <f t="shared" si="1"/>
        <v>960000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 spans="1:23" ht="14.25" customHeight="1" x14ac:dyDescent="0.25">
      <c r="A32" s="20">
        <v>7</v>
      </c>
      <c r="B32" s="24" t="s">
        <v>104</v>
      </c>
      <c r="C32" s="18">
        <v>6</v>
      </c>
      <c r="D32" s="18" t="s">
        <v>5</v>
      </c>
      <c r="E32" s="19">
        <v>120000</v>
      </c>
      <c r="F32" s="19">
        <f t="shared" si="1"/>
        <v>720000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 ht="14.25" customHeight="1" x14ac:dyDescent="0.25">
      <c r="A33" s="17"/>
      <c r="B33" s="26" t="s">
        <v>91</v>
      </c>
      <c r="C33" s="21">
        <f>SUM(C26:C32)</f>
        <v>28</v>
      </c>
      <c r="D33" s="21" t="s">
        <v>5</v>
      </c>
      <c r="E33" s="22">
        <v>120000</v>
      </c>
      <c r="F33" s="19">
        <f t="shared" si="1"/>
        <v>3360000</v>
      </c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</row>
    <row r="34" spans="1:23" ht="14.25" customHeight="1" x14ac:dyDescent="0.25">
      <c r="A34" s="20"/>
      <c r="B34" s="20"/>
      <c r="C34" s="18"/>
      <c r="D34" s="18"/>
      <c r="E34" s="19"/>
      <c r="F34" s="20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 spans="1:23" ht="14.25" customHeight="1" x14ac:dyDescent="0.25">
      <c r="A35" s="15"/>
      <c r="B35" s="12" t="s">
        <v>105</v>
      </c>
      <c r="C35" s="27"/>
      <c r="D35" s="27"/>
      <c r="E35" s="28"/>
      <c r="F35" s="14">
        <f>SUM(F16+F23+F33)</f>
        <v>13959000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 spans="1:23" ht="14.25" customHeight="1" x14ac:dyDescent="0.25">
      <c r="A36" s="20"/>
      <c r="B36" s="17"/>
      <c r="C36" s="21"/>
      <c r="D36" s="21"/>
      <c r="E36" s="22"/>
      <c r="F36" s="20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 spans="1:23" ht="14.25" customHeight="1" x14ac:dyDescent="0.25">
      <c r="A37" s="12" t="s">
        <v>106</v>
      </c>
      <c r="B37" s="29" t="s">
        <v>107</v>
      </c>
      <c r="C37" s="13"/>
      <c r="D37" s="13"/>
      <c r="E37" s="15"/>
      <c r="F37" s="15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spans="1:23" ht="14.25" customHeight="1" x14ac:dyDescent="0.25">
      <c r="A38" s="20">
        <v>1</v>
      </c>
      <c r="B38" s="30" t="s">
        <v>192</v>
      </c>
      <c r="C38" s="18">
        <v>1</v>
      </c>
      <c r="D38" s="18" t="s">
        <v>193</v>
      </c>
      <c r="E38" s="31">
        <v>21000000</v>
      </c>
      <c r="F38" s="19">
        <f>E38/3</f>
        <v>7000000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 spans="1:23" ht="14.25" customHeight="1" x14ac:dyDescent="0.25">
      <c r="A39" s="15"/>
      <c r="B39" s="12" t="s">
        <v>108</v>
      </c>
      <c r="C39" s="27"/>
      <c r="D39" s="27"/>
      <c r="E39" s="32"/>
      <c r="F39" s="14">
        <f t="shared" ref="F39" si="2">SUM(F38)</f>
        <v>7000000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 spans="1:23" ht="14.25" customHeight="1" x14ac:dyDescent="0.25">
      <c r="A40" s="20"/>
      <c r="B40" s="17"/>
      <c r="C40" s="21"/>
      <c r="D40" s="21"/>
      <c r="E40" s="33"/>
      <c r="F40" s="20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 spans="1:23" ht="14.25" customHeight="1" x14ac:dyDescent="0.25">
      <c r="A41" s="12" t="s">
        <v>109</v>
      </c>
      <c r="B41" s="12" t="s">
        <v>110</v>
      </c>
      <c r="C41" s="27"/>
      <c r="D41" s="27"/>
      <c r="E41" s="32"/>
      <c r="F41" s="15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spans="1:23" ht="14.25" customHeight="1" x14ac:dyDescent="0.25">
      <c r="A42" s="20">
        <v>1</v>
      </c>
      <c r="B42" s="20" t="s">
        <v>111</v>
      </c>
      <c r="C42" s="21">
        <v>1</v>
      </c>
      <c r="D42" s="21" t="s">
        <v>3</v>
      </c>
      <c r="E42" s="33">
        <v>1000000</v>
      </c>
      <c r="F42" s="20">
        <v>1000000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 spans="1:23" ht="14.25" customHeight="1" x14ac:dyDescent="0.25">
      <c r="A43" s="20">
        <v>2</v>
      </c>
      <c r="B43" s="20" t="s">
        <v>112</v>
      </c>
      <c r="C43" s="21">
        <v>1</v>
      </c>
      <c r="D43" s="21" t="s">
        <v>3</v>
      </c>
      <c r="E43" s="33">
        <v>200000</v>
      </c>
      <c r="F43" s="19">
        <f>C43*E43</f>
        <v>200000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 spans="1:23" ht="14.25" customHeight="1" x14ac:dyDescent="0.25">
      <c r="A44" s="20"/>
      <c r="B44" s="17"/>
      <c r="C44" s="21"/>
      <c r="D44" s="21"/>
      <c r="E44" s="33"/>
      <c r="F44" s="20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 spans="1:23" ht="14.25" customHeight="1" x14ac:dyDescent="0.25">
      <c r="A45" s="15"/>
      <c r="B45" s="12" t="s">
        <v>113</v>
      </c>
      <c r="C45" s="27"/>
      <c r="D45" s="27"/>
      <c r="E45" s="32"/>
      <c r="F45" s="15">
        <f t="shared" ref="F45" si="3">SUM(F42:F43)</f>
        <v>1200000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 spans="1:23" ht="14.25" customHeight="1" x14ac:dyDescent="0.25">
      <c r="A46" s="20"/>
      <c r="B46" s="17"/>
      <c r="C46" s="21"/>
      <c r="D46" s="21"/>
      <c r="E46" s="33"/>
      <c r="F46" s="20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ht="14.25" customHeight="1" x14ac:dyDescent="0.25">
      <c r="A47" s="12" t="s">
        <v>114</v>
      </c>
      <c r="B47" s="12" t="s">
        <v>115</v>
      </c>
      <c r="C47" s="27"/>
      <c r="D47" s="27"/>
      <c r="E47" s="28"/>
      <c r="F47" s="14">
        <f>F35+F39+F45</f>
        <v>22159000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 spans="1:23" ht="14.25" customHeight="1" x14ac:dyDescent="0.25">
      <c r="A48" s="20"/>
      <c r="B48" s="17"/>
      <c r="C48" s="21"/>
      <c r="D48" s="21"/>
      <c r="E48" s="22"/>
      <c r="F48" s="20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 spans="1:23" ht="14.25" customHeight="1" x14ac:dyDescent="0.25">
      <c r="A49" s="12" t="s">
        <v>116</v>
      </c>
      <c r="B49" s="12" t="s">
        <v>117</v>
      </c>
      <c r="C49" s="27"/>
      <c r="D49" s="27"/>
      <c r="E49" s="28"/>
      <c r="F49" s="15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 spans="1:23" ht="14.25" customHeight="1" x14ac:dyDescent="0.25">
      <c r="A50" s="20"/>
      <c r="B50" s="20" t="s">
        <v>118</v>
      </c>
      <c r="C50" s="34">
        <v>7000</v>
      </c>
      <c r="D50" s="34" t="s">
        <v>119</v>
      </c>
      <c r="E50" s="19"/>
      <c r="F50" s="35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 spans="1:23" ht="14.25" customHeight="1" x14ac:dyDescent="0.25">
      <c r="A51" s="20"/>
      <c r="B51" s="20" t="s">
        <v>120</v>
      </c>
      <c r="C51" s="34">
        <v>1</v>
      </c>
      <c r="D51" s="34" t="s">
        <v>119</v>
      </c>
      <c r="E51" s="19">
        <v>6500</v>
      </c>
      <c r="F51" s="20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 spans="1:23" ht="14.25" customHeight="1" x14ac:dyDescent="0.25">
      <c r="A52" s="20"/>
      <c r="B52" s="20" t="s">
        <v>121</v>
      </c>
      <c r="C52" s="34">
        <f>C50</f>
        <v>7000</v>
      </c>
      <c r="D52" s="34" t="s">
        <v>119</v>
      </c>
      <c r="E52" s="19">
        <v>6500</v>
      </c>
      <c r="F52" s="19">
        <f>C52*E52</f>
        <v>45500000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spans="1:23" ht="14.25" customHeight="1" x14ac:dyDescent="0.25">
      <c r="A53" s="20"/>
      <c r="B53" s="20" t="s">
        <v>122</v>
      </c>
      <c r="C53" s="34"/>
      <c r="D53" s="34"/>
      <c r="E53" s="19"/>
      <c r="F53" s="36">
        <f t="shared" ref="F53" si="4">F52-F47</f>
        <v>23341000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 spans="1:23" ht="14.25" customHeight="1" x14ac:dyDescent="0.25">
      <c r="A54" s="20"/>
      <c r="B54" s="20"/>
      <c r="C54" s="34"/>
      <c r="D54" s="34"/>
      <c r="E54" s="19"/>
      <c r="F54" s="37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spans="1:23" ht="14.25" customHeight="1" x14ac:dyDescent="0.25">
      <c r="A55" s="12" t="s">
        <v>123</v>
      </c>
      <c r="B55" s="12" t="s">
        <v>124</v>
      </c>
      <c r="C55" s="38"/>
      <c r="D55" s="38"/>
      <c r="E55" s="14"/>
      <c r="F55" s="15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 spans="1:23" ht="14.25" customHeight="1" x14ac:dyDescent="0.25">
      <c r="A56" s="20"/>
      <c r="B56" s="20" t="s">
        <v>125</v>
      </c>
      <c r="C56" s="33"/>
      <c r="D56" s="33"/>
      <c r="E56" s="22"/>
      <c r="F56" s="39">
        <f>F47/C52</f>
        <v>3165.5714285714284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 spans="1:23" ht="14.25" customHeight="1" x14ac:dyDescent="0.25">
      <c r="A57" s="20"/>
      <c r="B57" s="20" t="s">
        <v>126</v>
      </c>
      <c r="C57" s="33"/>
      <c r="D57" s="33"/>
      <c r="E57" s="22"/>
      <c r="F57" s="39">
        <f>F47/E51</f>
        <v>3409.0769230769229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 spans="1:23" ht="14.25" customHeight="1" x14ac:dyDescent="0.25">
      <c r="A58" s="20"/>
      <c r="B58" s="20" t="s">
        <v>127</v>
      </c>
      <c r="C58" s="18"/>
      <c r="D58" s="18"/>
      <c r="E58" s="19"/>
      <c r="F58" s="40">
        <f t="shared" ref="F58" si="5">F53/F47</f>
        <v>1.0533417572995172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spans="1:23" ht="14.25" customHeight="1" x14ac:dyDescent="0.25">
      <c r="A59" s="12" t="s">
        <v>128</v>
      </c>
      <c r="B59" s="12" t="s">
        <v>129</v>
      </c>
      <c r="C59" s="27"/>
      <c r="D59" s="27"/>
      <c r="E59" s="28"/>
      <c r="F59" s="12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</row>
    <row r="60" spans="1:23" ht="14.25" customHeight="1" x14ac:dyDescent="0.25">
      <c r="A60" s="20"/>
      <c r="B60" s="20" t="s">
        <v>194</v>
      </c>
      <c r="C60" s="34"/>
      <c r="D60" s="18"/>
      <c r="E60" s="19"/>
      <c r="F60" s="41">
        <f>F53*40%</f>
        <v>9336400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 spans="1:23" ht="14.25" customHeight="1" x14ac:dyDescent="0.25">
      <c r="A61" s="20"/>
      <c r="B61" s="20" t="s">
        <v>195</v>
      </c>
      <c r="C61" s="34"/>
      <c r="D61" s="18"/>
      <c r="E61" s="19"/>
      <c r="F61" s="42">
        <f>F53*60%</f>
        <v>14004600</v>
      </c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 spans="1:23" ht="14.25" customHeight="1" x14ac:dyDescent="0.25">
      <c r="C62" s="9"/>
      <c r="D62" s="9"/>
      <c r="G62" s="43"/>
      <c r="H62" s="44"/>
    </row>
    <row r="63" spans="1:23" ht="14.25" customHeight="1" x14ac:dyDescent="0.25">
      <c r="C63" s="9"/>
      <c r="D63" s="9"/>
    </row>
    <row r="64" spans="1:23" ht="14.25" customHeight="1" x14ac:dyDescent="0.25">
      <c r="C64" s="9"/>
      <c r="D64" s="9"/>
    </row>
    <row r="65" spans="3:4" ht="14.25" customHeight="1" x14ac:dyDescent="0.25">
      <c r="C65" s="9"/>
      <c r="D65" s="9"/>
    </row>
    <row r="66" spans="3:4" ht="14.25" customHeight="1" x14ac:dyDescent="0.25">
      <c r="C66" s="9"/>
      <c r="D66" s="9"/>
    </row>
    <row r="67" spans="3:4" ht="14.25" customHeight="1" x14ac:dyDescent="0.25">
      <c r="C67" s="9"/>
      <c r="D67" s="9"/>
    </row>
    <row r="68" spans="3:4" ht="14.25" customHeight="1" x14ac:dyDescent="0.25">
      <c r="C68" s="9"/>
      <c r="D68" s="9"/>
    </row>
    <row r="69" spans="3:4" ht="14.25" customHeight="1" x14ac:dyDescent="0.25">
      <c r="C69" s="9"/>
      <c r="D69" s="9"/>
    </row>
    <row r="70" spans="3:4" ht="14.25" customHeight="1" x14ac:dyDescent="0.25">
      <c r="C70" s="9"/>
      <c r="D70" s="9"/>
    </row>
    <row r="71" spans="3:4" ht="14.25" customHeight="1" x14ac:dyDescent="0.25">
      <c r="C71" s="9"/>
      <c r="D71" s="9"/>
    </row>
    <row r="72" spans="3:4" ht="14.25" customHeight="1" x14ac:dyDescent="0.25">
      <c r="C72" s="9"/>
      <c r="D72" s="9"/>
    </row>
    <row r="73" spans="3:4" ht="14.25" customHeight="1" x14ac:dyDescent="0.25">
      <c r="C73" s="9"/>
      <c r="D73" s="9"/>
    </row>
    <row r="74" spans="3:4" ht="14.25" customHeight="1" x14ac:dyDescent="0.25">
      <c r="C74" s="9"/>
      <c r="D74" s="9"/>
    </row>
    <row r="75" spans="3:4" ht="14.25" customHeight="1" x14ac:dyDescent="0.25">
      <c r="C75" s="9"/>
      <c r="D75" s="9"/>
    </row>
    <row r="76" spans="3:4" ht="14.25" customHeight="1" x14ac:dyDescent="0.25">
      <c r="C76" s="9"/>
      <c r="D76" s="9"/>
    </row>
    <row r="77" spans="3:4" ht="14.25" customHeight="1" x14ac:dyDescent="0.25">
      <c r="C77" s="9"/>
      <c r="D77" s="9"/>
    </row>
    <row r="78" spans="3:4" ht="14.25" customHeight="1" x14ac:dyDescent="0.25">
      <c r="C78" s="9"/>
      <c r="D78" s="9"/>
    </row>
    <row r="79" spans="3:4" ht="14.25" customHeight="1" x14ac:dyDescent="0.25">
      <c r="C79" s="9"/>
      <c r="D79" s="9"/>
    </row>
    <row r="80" spans="3:4" ht="14.25" customHeight="1" x14ac:dyDescent="0.25">
      <c r="C80" s="9"/>
      <c r="D80" s="9"/>
    </row>
    <row r="81" spans="3:4" ht="14.25" customHeight="1" x14ac:dyDescent="0.25">
      <c r="C81" s="9"/>
      <c r="D81" s="9"/>
    </row>
    <row r="82" spans="3:4" ht="14.25" customHeight="1" x14ac:dyDescent="0.25">
      <c r="C82" s="9"/>
      <c r="D82" s="9"/>
    </row>
    <row r="83" spans="3:4" ht="14.25" customHeight="1" x14ac:dyDescent="0.25">
      <c r="C83" s="9"/>
      <c r="D83" s="9"/>
    </row>
    <row r="84" spans="3:4" ht="14.25" customHeight="1" x14ac:dyDescent="0.25">
      <c r="C84" s="9"/>
      <c r="D84" s="9"/>
    </row>
    <row r="85" spans="3:4" ht="14.25" customHeight="1" x14ac:dyDescent="0.25">
      <c r="C85" s="9"/>
      <c r="D85" s="9"/>
    </row>
    <row r="86" spans="3:4" ht="14.25" customHeight="1" x14ac:dyDescent="0.25">
      <c r="C86" s="9"/>
      <c r="D86" s="9"/>
    </row>
    <row r="87" spans="3:4" ht="14.25" customHeight="1" x14ac:dyDescent="0.25">
      <c r="C87" s="9"/>
      <c r="D87" s="9"/>
    </row>
    <row r="88" spans="3:4" ht="14.25" customHeight="1" x14ac:dyDescent="0.25">
      <c r="C88" s="9"/>
      <c r="D88" s="9"/>
    </row>
    <row r="89" spans="3:4" ht="14.25" customHeight="1" x14ac:dyDescent="0.25">
      <c r="C89" s="9"/>
      <c r="D89" s="9"/>
    </row>
    <row r="90" spans="3:4" ht="14.25" customHeight="1" x14ac:dyDescent="0.25">
      <c r="C90" s="9"/>
      <c r="D90" s="9"/>
    </row>
    <row r="91" spans="3:4" ht="14.25" customHeight="1" x14ac:dyDescent="0.25">
      <c r="C91" s="9"/>
      <c r="D91" s="9"/>
    </row>
    <row r="92" spans="3:4" ht="14.25" customHeight="1" x14ac:dyDescent="0.25">
      <c r="C92" s="9"/>
      <c r="D92" s="9"/>
    </row>
    <row r="93" spans="3:4" ht="14.25" customHeight="1" x14ac:dyDescent="0.25">
      <c r="C93" s="9"/>
      <c r="D93" s="9"/>
    </row>
    <row r="94" spans="3:4" ht="14.25" customHeight="1" x14ac:dyDescent="0.25">
      <c r="C94" s="9"/>
      <c r="D94" s="9"/>
    </row>
    <row r="95" spans="3:4" ht="14.25" customHeight="1" x14ac:dyDescent="0.25">
      <c r="C95" s="9"/>
      <c r="D95" s="9"/>
    </row>
    <row r="96" spans="3:4" ht="14.25" customHeight="1" x14ac:dyDescent="0.25">
      <c r="C96" s="9"/>
      <c r="D96" s="9"/>
    </row>
    <row r="97" spans="3:4" ht="14.25" customHeight="1" x14ac:dyDescent="0.25">
      <c r="C97" s="9"/>
      <c r="D97" s="9"/>
    </row>
    <row r="98" spans="3:4" ht="14.25" customHeight="1" x14ac:dyDescent="0.25">
      <c r="C98" s="9"/>
      <c r="D98" s="9"/>
    </row>
    <row r="99" spans="3:4" ht="14.25" customHeight="1" x14ac:dyDescent="0.25">
      <c r="C99" s="9"/>
      <c r="D99" s="9"/>
    </row>
    <row r="100" spans="3:4" ht="14.25" customHeight="1" x14ac:dyDescent="0.25">
      <c r="C100" s="9"/>
      <c r="D100" s="9"/>
    </row>
    <row r="101" spans="3:4" ht="14.25" customHeight="1" x14ac:dyDescent="0.25">
      <c r="C101" s="9"/>
      <c r="D101" s="9"/>
    </row>
    <row r="102" spans="3:4" ht="14.25" customHeight="1" x14ac:dyDescent="0.25">
      <c r="C102" s="9"/>
      <c r="D102" s="9"/>
    </row>
    <row r="103" spans="3:4" ht="14.25" customHeight="1" x14ac:dyDescent="0.25">
      <c r="C103" s="9"/>
      <c r="D103" s="9"/>
    </row>
    <row r="104" spans="3:4" ht="14.25" customHeight="1" x14ac:dyDescent="0.25">
      <c r="C104" s="9"/>
      <c r="D104" s="9"/>
    </row>
    <row r="105" spans="3:4" ht="14.25" customHeight="1" x14ac:dyDescent="0.25">
      <c r="C105" s="9"/>
      <c r="D105" s="9"/>
    </row>
    <row r="106" spans="3:4" ht="14.25" customHeight="1" x14ac:dyDescent="0.25">
      <c r="C106" s="9"/>
      <c r="D106" s="9"/>
    </row>
    <row r="107" spans="3:4" ht="14.25" customHeight="1" x14ac:dyDescent="0.25">
      <c r="C107" s="9"/>
      <c r="D107" s="9"/>
    </row>
    <row r="108" spans="3:4" ht="14.25" customHeight="1" x14ac:dyDescent="0.25">
      <c r="C108" s="9"/>
      <c r="D108" s="9"/>
    </row>
    <row r="109" spans="3:4" ht="14.25" customHeight="1" x14ac:dyDescent="0.25">
      <c r="C109" s="9"/>
      <c r="D109" s="9"/>
    </row>
    <row r="110" spans="3:4" ht="14.25" customHeight="1" x14ac:dyDescent="0.25">
      <c r="C110" s="9"/>
      <c r="D110" s="9"/>
    </row>
    <row r="111" spans="3:4" ht="14.25" customHeight="1" x14ac:dyDescent="0.25">
      <c r="C111" s="9"/>
      <c r="D111" s="9"/>
    </row>
    <row r="112" spans="3:4" ht="14.25" customHeight="1" x14ac:dyDescent="0.25">
      <c r="C112" s="9"/>
      <c r="D112" s="9"/>
    </row>
    <row r="113" spans="3:4" ht="14.25" customHeight="1" x14ac:dyDescent="0.25">
      <c r="C113" s="9"/>
      <c r="D113" s="9"/>
    </row>
    <row r="114" spans="3:4" ht="14.25" customHeight="1" x14ac:dyDescent="0.25">
      <c r="C114" s="9"/>
      <c r="D114" s="9"/>
    </row>
    <row r="115" spans="3:4" ht="14.25" customHeight="1" x14ac:dyDescent="0.25">
      <c r="C115" s="9"/>
      <c r="D115" s="9"/>
    </row>
    <row r="116" spans="3:4" ht="14.25" customHeight="1" x14ac:dyDescent="0.25">
      <c r="C116" s="9"/>
      <c r="D116" s="9"/>
    </row>
    <row r="117" spans="3:4" ht="14.25" customHeight="1" x14ac:dyDescent="0.25">
      <c r="C117" s="9"/>
      <c r="D117" s="9"/>
    </row>
    <row r="118" spans="3:4" ht="14.25" customHeight="1" x14ac:dyDescent="0.25">
      <c r="C118" s="9"/>
      <c r="D118" s="9"/>
    </row>
    <row r="119" spans="3:4" ht="14.25" customHeight="1" x14ac:dyDescent="0.25">
      <c r="C119" s="9"/>
      <c r="D119" s="9"/>
    </row>
    <row r="120" spans="3:4" ht="14.25" customHeight="1" x14ac:dyDescent="0.25">
      <c r="C120" s="9"/>
      <c r="D120" s="9"/>
    </row>
    <row r="121" spans="3:4" ht="14.25" customHeight="1" x14ac:dyDescent="0.25">
      <c r="C121" s="9"/>
      <c r="D121" s="9"/>
    </row>
    <row r="122" spans="3:4" ht="14.25" customHeight="1" x14ac:dyDescent="0.25">
      <c r="C122" s="9"/>
      <c r="D122" s="9"/>
    </row>
    <row r="123" spans="3:4" ht="14.25" customHeight="1" x14ac:dyDescent="0.25">
      <c r="C123" s="9"/>
      <c r="D123" s="9"/>
    </row>
    <row r="124" spans="3:4" ht="14.25" customHeight="1" x14ac:dyDescent="0.25">
      <c r="C124" s="9"/>
      <c r="D124" s="9"/>
    </row>
    <row r="125" spans="3:4" ht="14.25" customHeight="1" x14ac:dyDescent="0.25">
      <c r="C125" s="9"/>
      <c r="D125" s="9"/>
    </row>
    <row r="126" spans="3:4" ht="14.25" customHeight="1" x14ac:dyDescent="0.25">
      <c r="C126" s="9"/>
      <c r="D126" s="9"/>
    </row>
    <row r="127" spans="3:4" ht="14.25" customHeight="1" x14ac:dyDescent="0.25">
      <c r="C127" s="9"/>
      <c r="D127" s="9"/>
    </row>
    <row r="128" spans="3:4" ht="14.25" customHeight="1" x14ac:dyDescent="0.25">
      <c r="C128" s="9"/>
      <c r="D128" s="9"/>
    </row>
    <row r="129" spans="3:4" ht="14.25" customHeight="1" x14ac:dyDescent="0.25">
      <c r="C129" s="9"/>
      <c r="D129" s="9"/>
    </row>
    <row r="130" spans="3:4" ht="14.25" customHeight="1" x14ac:dyDescent="0.25">
      <c r="C130" s="9"/>
      <c r="D130" s="9"/>
    </row>
    <row r="131" spans="3:4" ht="14.25" customHeight="1" x14ac:dyDescent="0.25">
      <c r="C131" s="9"/>
      <c r="D131" s="9"/>
    </row>
    <row r="132" spans="3:4" ht="14.25" customHeight="1" x14ac:dyDescent="0.25">
      <c r="C132" s="9"/>
      <c r="D132" s="9"/>
    </row>
    <row r="133" spans="3:4" ht="14.25" customHeight="1" x14ac:dyDescent="0.25">
      <c r="C133" s="9"/>
      <c r="D133" s="9"/>
    </row>
    <row r="134" spans="3:4" ht="14.25" customHeight="1" x14ac:dyDescent="0.25">
      <c r="C134" s="9"/>
      <c r="D134" s="9"/>
    </row>
    <row r="135" spans="3:4" ht="14.25" customHeight="1" x14ac:dyDescent="0.25">
      <c r="C135" s="9"/>
      <c r="D135" s="9"/>
    </row>
    <row r="136" spans="3:4" ht="14.25" customHeight="1" x14ac:dyDescent="0.25">
      <c r="C136" s="9"/>
      <c r="D136" s="9"/>
    </row>
    <row r="137" spans="3:4" ht="14.25" customHeight="1" x14ac:dyDescent="0.25">
      <c r="C137" s="9"/>
      <c r="D137" s="9"/>
    </row>
    <row r="138" spans="3:4" ht="14.25" customHeight="1" x14ac:dyDescent="0.25">
      <c r="C138" s="9"/>
      <c r="D138" s="9"/>
    </row>
    <row r="139" spans="3:4" ht="14.25" customHeight="1" x14ac:dyDescent="0.25">
      <c r="C139" s="9"/>
      <c r="D139" s="9"/>
    </row>
    <row r="140" spans="3:4" ht="14.25" customHeight="1" x14ac:dyDescent="0.25">
      <c r="C140" s="9"/>
      <c r="D140" s="9"/>
    </row>
    <row r="141" spans="3:4" ht="14.25" customHeight="1" x14ac:dyDescent="0.25">
      <c r="C141" s="9"/>
      <c r="D141" s="9"/>
    </row>
    <row r="142" spans="3:4" ht="14.25" customHeight="1" x14ac:dyDescent="0.25">
      <c r="C142" s="9"/>
      <c r="D142" s="9"/>
    </row>
    <row r="143" spans="3:4" ht="14.25" customHeight="1" x14ac:dyDescent="0.25">
      <c r="C143" s="9"/>
      <c r="D143" s="9"/>
    </row>
    <row r="144" spans="3:4" ht="14.25" customHeight="1" x14ac:dyDescent="0.25">
      <c r="C144" s="9"/>
      <c r="D144" s="9"/>
    </row>
    <row r="145" spans="3:4" ht="14.25" customHeight="1" x14ac:dyDescent="0.25">
      <c r="C145" s="9"/>
      <c r="D145" s="9"/>
    </row>
    <row r="146" spans="3:4" ht="14.25" customHeight="1" x14ac:dyDescent="0.25">
      <c r="C146" s="9"/>
      <c r="D146" s="9"/>
    </row>
    <row r="147" spans="3:4" ht="14.25" customHeight="1" x14ac:dyDescent="0.25">
      <c r="C147" s="9"/>
      <c r="D147" s="9"/>
    </row>
    <row r="148" spans="3:4" ht="14.25" customHeight="1" x14ac:dyDescent="0.25">
      <c r="C148" s="9"/>
      <c r="D148" s="9"/>
    </row>
    <row r="149" spans="3:4" ht="14.25" customHeight="1" x14ac:dyDescent="0.25">
      <c r="C149" s="9"/>
      <c r="D149" s="9"/>
    </row>
    <row r="150" spans="3:4" ht="14.25" customHeight="1" x14ac:dyDescent="0.25">
      <c r="C150" s="9"/>
      <c r="D150" s="9"/>
    </row>
    <row r="151" spans="3:4" ht="14.25" customHeight="1" x14ac:dyDescent="0.25">
      <c r="C151" s="9"/>
      <c r="D151" s="9"/>
    </row>
    <row r="152" spans="3:4" ht="14.25" customHeight="1" x14ac:dyDescent="0.25">
      <c r="C152" s="9"/>
      <c r="D152" s="9"/>
    </row>
    <row r="153" spans="3:4" ht="14.25" customHeight="1" x14ac:dyDescent="0.25">
      <c r="C153" s="9"/>
      <c r="D153" s="9"/>
    </row>
    <row r="154" spans="3:4" ht="14.25" customHeight="1" x14ac:dyDescent="0.25">
      <c r="C154" s="9"/>
      <c r="D154" s="9"/>
    </row>
    <row r="155" spans="3:4" ht="14.25" customHeight="1" x14ac:dyDescent="0.25">
      <c r="C155" s="9"/>
      <c r="D155" s="9"/>
    </row>
    <row r="156" spans="3:4" ht="14.25" customHeight="1" x14ac:dyDescent="0.25">
      <c r="C156" s="9"/>
      <c r="D156" s="9"/>
    </row>
    <row r="157" spans="3:4" ht="14.25" customHeight="1" x14ac:dyDescent="0.25">
      <c r="C157" s="9"/>
      <c r="D157" s="9"/>
    </row>
    <row r="158" spans="3:4" ht="14.25" customHeight="1" x14ac:dyDescent="0.25">
      <c r="C158" s="9"/>
      <c r="D158" s="9"/>
    </row>
    <row r="159" spans="3:4" ht="14.25" customHeight="1" x14ac:dyDescent="0.25">
      <c r="C159" s="9"/>
      <c r="D159" s="9"/>
    </row>
    <row r="160" spans="3:4" ht="14.25" customHeight="1" x14ac:dyDescent="0.25">
      <c r="C160" s="9"/>
      <c r="D160" s="9"/>
    </row>
    <row r="161" spans="3:4" ht="14.25" customHeight="1" x14ac:dyDescent="0.25">
      <c r="C161" s="9"/>
      <c r="D161" s="9"/>
    </row>
    <row r="162" spans="3:4" ht="14.25" customHeight="1" x14ac:dyDescent="0.25">
      <c r="C162" s="9"/>
      <c r="D162" s="9"/>
    </row>
    <row r="163" spans="3:4" ht="14.25" customHeight="1" x14ac:dyDescent="0.25">
      <c r="C163" s="9"/>
      <c r="D163" s="9"/>
    </row>
    <row r="164" spans="3:4" ht="14.25" customHeight="1" x14ac:dyDescent="0.25">
      <c r="C164" s="9"/>
      <c r="D164" s="9"/>
    </row>
    <row r="165" spans="3:4" ht="14.25" customHeight="1" x14ac:dyDescent="0.25">
      <c r="C165" s="9"/>
      <c r="D165" s="9"/>
    </row>
    <row r="166" spans="3:4" ht="14.25" customHeight="1" x14ac:dyDescent="0.25">
      <c r="C166" s="9"/>
      <c r="D166" s="9"/>
    </row>
    <row r="167" spans="3:4" ht="14.25" customHeight="1" x14ac:dyDescent="0.25">
      <c r="C167" s="9"/>
      <c r="D167" s="9"/>
    </row>
    <row r="168" spans="3:4" ht="14.25" customHeight="1" x14ac:dyDescent="0.25">
      <c r="C168" s="9"/>
      <c r="D168" s="9"/>
    </row>
    <row r="169" spans="3:4" ht="14.25" customHeight="1" x14ac:dyDescent="0.25">
      <c r="C169" s="9"/>
      <c r="D169" s="9"/>
    </row>
    <row r="170" spans="3:4" ht="14.25" customHeight="1" x14ac:dyDescent="0.25">
      <c r="C170" s="9"/>
      <c r="D170" s="9"/>
    </row>
    <row r="171" spans="3:4" ht="14.25" customHeight="1" x14ac:dyDescent="0.25">
      <c r="C171" s="9"/>
      <c r="D171" s="9"/>
    </row>
    <row r="172" spans="3:4" ht="14.25" customHeight="1" x14ac:dyDescent="0.25">
      <c r="C172" s="9"/>
      <c r="D172" s="9"/>
    </row>
    <row r="173" spans="3:4" ht="14.25" customHeight="1" x14ac:dyDescent="0.25">
      <c r="C173" s="9"/>
      <c r="D173" s="9"/>
    </row>
    <row r="174" spans="3:4" ht="14.25" customHeight="1" x14ac:dyDescent="0.25">
      <c r="C174" s="9"/>
      <c r="D174" s="9"/>
    </row>
    <row r="175" spans="3:4" ht="14.25" customHeight="1" x14ac:dyDescent="0.25">
      <c r="C175" s="9"/>
      <c r="D175" s="9"/>
    </row>
    <row r="176" spans="3:4" ht="14.25" customHeight="1" x14ac:dyDescent="0.25">
      <c r="C176" s="9"/>
      <c r="D176" s="9"/>
    </row>
    <row r="177" spans="3:4" ht="14.25" customHeight="1" x14ac:dyDescent="0.25">
      <c r="C177" s="9"/>
      <c r="D177" s="9"/>
    </row>
    <row r="178" spans="3:4" ht="14.25" customHeight="1" x14ac:dyDescent="0.25">
      <c r="C178" s="9"/>
      <c r="D178" s="9"/>
    </row>
    <row r="179" spans="3:4" ht="14.25" customHeight="1" x14ac:dyDescent="0.25">
      <c r="C179" s="9"/>
      <c r="D179" s="9"/>
    </row>
    <row r="180" spans="3:4" ht="14.25" customHeight="1" x14ac:dyDescent="0.25">
      <c r="C180" s="9"/>
      <c r="D180" s="9"/>
    </row>
    <row r="181" spans="3:4" ht="14.25" customHeight="1" x14ac:dyDescent="0.25">
      <c r="C181" s="9"/>
      <c r="D181" s="9"/>
    </row>
    <row r="182" spans="3:4" ht="14.25" customHeight="1" x14ac:dyDescent="0.25">
      <c r="C182" s="9"/>
      <c r="D182" s="9"/>
    </row>
    <row r="183" spans="3:4" ht="14.25" customHeight="1" x14ac:dyDescent="0.25">
      <c r="C183" s="9"/>
      <c r="D183" s="9"/>
    </row>
    <row r="184" spans="3:4" ht="14.25" customHeight="1" x14ac:dyDescent="0.25">
      <c r="C184" s="9"/>
      <c r="D184" s="9"/>
    </row>
    <row r="185" spans="3:4" ht="14.25" customHeight="1" x14ac:dyDescent="0.25">
      <c r="C185" s="9"/>
      <c r="D185" s="9"/>
    </row>
    <row r="186" spans="3:4" ht="14.25" customHeight="1" x14ac:dyDescent="0.25">
      <c r="C186" s="9"/>
      <c r="D186" s="9"/>
    </row>
    <row r="187" spans="3:4" ht="14.25" customHeight="1" x14ac:dyDescent="0.25">
      <c r="C187" s="9"/>
      <c r="D187" s="9"/>
    </row>
    <row r="188" spans="3:4" ht="14.25" customHeight="1" x14ac:dyDescent="0.25">
      <c r="C188" s="9"/>
      <c r="D188" s="9"/>
    </row>
    <row r="189" spans="3:4" ht="14.25" customHeight="1" x14ac:dyDescent="0.25">
      <c r="C189" s="9"/>
      <c r="D189" s="9"/>
    </row>
    <row r="190" spans="3:4" ht="14.25" customHeight="1" x14ac:dyDescent="0.25">
      <c r="C190" s="9"/>
      <c r="D190" s="9"/>
    </row>
    <row r="191" spans="3:4" ht="14.25" customHeight="1" x14ac:dyDescent="0.25">
      <c r="C191" s="9"/>
      <c r="D191" s="9"/>
    </row>
    <row r="192" spans="3:4" ht="14.25" customHeight="1" x14ac:dyDescent="0.25">
      <c r="C192" s="9"/>
      <c r="D192" s="9"/>
    </row>
    <row r="193" spans="3:4" ht="14.25" customHeight="1" x14ac:dyDescent="0.25">
      <c r="C193" s="9"/>
      <c r="D193" s="9"/>
    </row>
    <row r="194" spans="3:4" ht="14.25" customHeight="1" x14ac:dyDescent="0.25">
      <c r="C194" s="9"/>
      <c r="D194" s="9"/>
    </row>
    <row r="195" spans="3:4" ht="14.25" customHeight="1" x14ac:dyDescent="0.25">
      <c r="C195" s="9"/>
      <c r="D195" s="9"/>
    </row>
    <row r="196" spans="3:4" ht="14.25" customHeight="1" x14ac:dyDescent="0.25">
      <c r="C196" s="9"/>
      <c r="D196" s="9"/>
    </row>
    <row r="197" spans="3:4" ht="14.25" customHeight="1" x14ac:dyDescent="0.25">
      <c r="C197" s="9"/>
      <c r="D197" s="9"/>
    </row>
    <row r="198" spans="3:4" ht="14.25" customHeight="1" x14ac:dyDescent="0.25">
      <c r="C198" s="9"/>
      <c r="D198" s="9"/>
    </row>
    <row r="199" spans="3:4" ht="14.25" customHeight="1" x14ac:dyDescent="0.25">
      <c r="C199" s="9"/>
      <c r="D199" s="9"/>
    </row>
    <row r="200" spans="3:4" ht="14.25" customHeight="1" x14ac:dyDescent="0.25">
      <c r="C200" s="9"/>
      <c r="D200" s="9"/>
    </row>
    <row r="201" spans="3:4" ht="14.25" customHeight="1" x14ac:dyDescent="0.25">
      <c r="C201" s="9"/>
      <c r="D201" s="9"/>
    </row>
    <row r="202" spans="3:4" ht="14.25" customHeight="1" x14ac:dyDescent="0.25">
      <c r="C202" s="9"/>
      <c r="D202" s="9"/>
    </row>
    <row r="203" spans="3:4" ht="14.25" customHeight="1" x14ac:dyDescent="0.25">
      <c r="C203" s="9"/>
      <c r="D203" s="9"/>
    </row>
    <row r="204" spans="3:4" ht="14.25" customHeight="1" x14ac:dyDescent="0.25">
      <c r="C204" s="9"/>
      <c r="D204" s="9"/>
    </row>
    <row r="205" spans="3:4" ht="14.25" customHeight="1" x14ac:dyDescent="0.25">
      <c r="C205" s="9"/>
      <c r="D205" s="9"/>
    </row>
    <row r="206" spans="3:4" ht="14.25" customHeight="1" x14ac:dyDescent="0.25">
      <c r="C206" s="9"/>
      <c r="D206" s="9"/>
    </row>
    <row r="207" spans="3:4" ht="14.25" customHeight="1" x14ac:dyDescent="0.25">
      <c r="C207" s="9"/>
      <c r="D207" s="9"/>
    </row>
    <row r="208" spans="3:4" ht="14.25" customHeight="1" x14ac:dyDescent="0.25">
      <c r="C208" s="9"/>
      <c r="D208" s="9"/>
    </row>
    <row r="209" spans="3:4" ht="14.25" customHeight="1" x14ac:dyDescent="0.25">
      <c r="C209" s="9"/>
      <c r="D209" s="9"/>
    </row>
    <row r="210" spans="3:4" ht="14.25" customHeight="1" x14ac:dyDescent="0.25">
      <c r="C210" s="9"/>
      <c r="D210" s="9"/>
    </row>
    <row r="211" spans="3:4" ht="14.25" customHeight="1" x14ac:dyDescent="0.25">
      <c r="C211" s="9"/>
      <c r="D211" s="9"/>
    </row>
    <row r="212" spans="3:4" ht="14.25" customHeight="1" x14ac:dyDescent="0.25">
      <c r="C212" s="9"/>
      <c r="D212" s="9"/>
    </row>
    <row r="213" spans="3:4" ht="14.25" customHeight="1" x14ac:dyDescent="0.25">
      <c r="C213" s="9"/>
      <c r="D213" s="9"/>
    </row>
    <row r="214" spans="3:4" ht="14.25" customHeight="1" x14ac:dyDescent="0.25">
      <c r="C214" s="9"/>
      <c r="D214" s="9"/>
    </row>
    <row r="215" spans="3:4" ht="14.25" customHeight="1" x14ac:dyDescent="0.25">
      <c r="C215" s="9"/>
      <c r="D215" s="9"/>
    </row>
    <row r="216" spans="3:4" ht="14.25" customHeight="1" x14ac:dyDescent="0.25">
      <c r="C216" s="9"/>
      <c r="D216" s="9"/>
    </row>
    <row r="217" spans="3:4" ht="14.25" customHeight="1" x14ac:dyDescent="0.25">
      <c r="C217" s="9"/>
      <c r="D217" s="9"/>
    </row>
    <row r="218" spans="3:4" ht="14.25" customHeight="1" x14ac:dyDescent="0.25">
      <c r="C218" s="9"/>
      <c r="D218" s="9"/>
    </row>
    <row r="219" spans="3:4" ht="14.25" customHeight="1" x14ac:dyDescent="0.25">
      <c r="C219" s="9"/>
      <c r="D219" s="9"/>
    </row>
    <row r="220" spans="3:4" ht="14.25" customHeight="1" x14ac:dyDescent="0.25">
      <c r="C220" s="9"/>
      <c r="D220" s="9"/>
    </row>
    <row r="221" spans="3:4" ht="14.25" customHeight="1" x14ac:dyDescent="0.25">
      <c r="C221" s="9"/>
      <c r="D221" s="9"/>
    </row>
    <row r="222" spans="3:4" ht="14.25" customHeight="1" x14ac:dyDescent="0.25">
      <c r="C222" s="9"/>
      <c r="D222" s="9"/>
    </row>
    <row r="223" spans="3:4" ht="14.25" customHeight="1" x14ac:dyDescent="0.25">
      <c r="C223" s="9"/>
      <c r="D223" s="9"/>
    </row>
    <row r="224" spans="3:4" ht="14.25" customHeight="1" x14ac:dyDescent="0.25">
      <c r="C224" s="9"/>
      <c r="D224" s="9"/>
    </row>
    <row r="225" spans="3:4" ht="14.25" customHeight="1" x14ac:dyDescent="0.25">
      <c r="C225" s="9"/>
      <c r="D225" s="9"/>
    </row>
    <row r="226" spans="3:4" ht="14.25" customHeight="1" x14ac:dyDescent="0.25">
      <c r="C226" s="9"/>
      <c r="D226" s="9"/>
    </row>
    <row r="227" spans="3:4" ht="14.25" customHeight="1" x14ac:dyDescent="0.25">
      <c r="C227" s="9"/>
      <c r="D227" s="9"/>
    </row>
    <row r="228" spans="3:4" ht="14.25" customHeight="1" x14ac:dyDescent="0.25">
      <c r="C228" s="9"/>
      <c r="D228" s="9"/>
    </row>
    <row r="229" spans="3:4" ht="14.25" customHeight="1" x14ac:dyDescent="0.25">
      <c r="C229" s="9"/>
      <c r="D229" s="9"/>
    </row>
    <row r="230" spans="3:4" ht="14.25" customHeight="1" x14ac:dyDescent="0.25">
      <c r="C230" s="9"/>
      <c r="D230" s="9"/>
    </row>
    <row r="231" spans="3:4" ht="14.25" customHeight="1" x14ac:dyDescent="0.25">
      <c r="C231" s="9"/>
      <c r="D231" s="9"/>
    </row>
    <row r="232" spans="3:4" ht="14.25" customHeight="1" x14ac:dyDescent="0.25">
      <c r="C232" s="9"/>
      <c r="D232" s="9"/>
    </row>
    <row r="233" spans="3:4" ht="14.25" customHeight="1" x14ac:dyDescent="0.25">
      <c r="C233" s="9"/>
      <c r="D233" s="9"/>
    </row>
    <row r="234" spans="3:4" ht="14.25" customHeight="1" x14ac:dyDescent="0.25">
      <c r="C234" s="9"/>
      <c r="D234" s="9"/>
    </row>
    <row r="235" spans="3:4" ht="14.25" customHeight="1" x14ac:dyDescent="0.25">
      <c r="C235" s="9"/>
      <c r="D235" s="9"/>
    </row>
    <row r="236" spans="3:4" ht="14.25" customHeight="1" x14ac:dyDescent="0.25">
      <c r="C236" s="9"/>
      <c r="D236" s="9"/>
    </row>
    <row r="237" spans="3:4" ht="14.25" customHeight="1" x14ac:dyDescent="0.25">
      <c r="C237" s="9"/>
      <c r="D237" s="9"/>
    </row>
    <row r="238" spans="3:4" ht="14.25" customHeight="1" x14ac:dyDescent="0.25">
      <c r="C238" s="9"/>
      <c r="D238" s="9"/>
    </row>
    <row r="239" spans="3:4" ht="14.25" customHeight="1" x14ac:dyDescent="0.25">
      <c r="C239" s="9"/>
      <c r="D239" s="9"/>
    </row>
    <row r="240" spans="3:4" ht="14.25" customHeight="1" x14ac:dyDescent="0.25">
      <c r="C240" s="9"/>
      <c r="D240" s="9"/>
    </row>
    <row r="241" spans="3:4" ht="14.25" customHeight="1" x14ac:dyDescent="0.25">
      <c r="C241" s="9"/>
      <c r="D241" s="9"/>
    </row>
    <row r="242" spans="3:4" ht="14.25" customHeight="1" x14ac:dyDescent="0.25">
      <c r="C242" s="9"/>
      <c r="D242" s="9"/>
    </row>
    <row r="243" spans="3:4" ht="14.25" customHeight="1" x14ac:dyDescent="0.25">
      <c r="C243" s="9"/>
      <c r="D243" s="9"/>
    </row>
    <row r="244" spans="3:4" ht="14.25" customHeight="1" x14ac:dyDescent="0.25">
      <c r="C244" s="9"/>
      <c r="D244" s="9"/>
    </row>
    <row r="245" spans="3:4" ht="14.25" customHeight="1" x14ac:dyDescent="0.25">
      <c r="C245" s="9"/>
      <c r="D245" s="9"/>
    </row>
    <row r="246" spans="3:4" ht="14.25" customHeight="1" x14ac:dyDescent="0.25">
      <c r="C246" s="9"/>
      <c r="D246" s="9"/>
    </row>
    <row r="247" spans="3:4" ht="14.25" customHeight="1" x14ac:dyDescent="0.25">
      <c r="C247" s="9"/>
      <c r="D247" s="9"/>
    </row>
    <row r="248" spans="3:4" ht="14.25" customHeight="1" x14ac:dyDescent="0.25">
      <c r="C248" s="9"/>
      <c r="D248" s="9"/>
    </row>
    <row r="249" spans="3:4" ht="14.25" customHeight="1" x14ac:dyDescent="0.25">
      <c r="C249" s="9"/>
      <c r="D249" s="9"/>
    </row>
    <row r="250" spans="3:4" ht="14.25" customHeight="1" x14ac:dyDescent="0.25">
      <c r="C250" s="9"/>
      <c r="D250" s="9"/>
    </row>
    <row r="251" spans="3:4" ht="14.25" customHeight="1" x14ac:dyDescent="0.25">
      <c r="C251" s="9"/>
      <c r="D251" s="9"/>
    </row>
    <row r="252" spans="3:4" ht="14.25" customHeight="1" x14ac:dyDescent="0.25">
      <c r="C252" s="9"/>
      <c r="D252" s="9"/>
    </row>
    <row r="253" spans="3:4" ht="14.25" customHeight="1" x14ac:dyDescent="0.25">
      <c r="C253" s="9"/>
      <c r="D253" s="9"/>
    </row>
    <row r="254" spans="3:4" ht="14.25" customHeight="1" x14ac:dyDescent="0.25">
      <c r="C254" s="9"/>
      <c r="D254" s="9"/>
    </row>
    <row r="255" spans="3:4" ht="14.25" customHeight="1" x14ac:dyDescent="0.25">
      <c r="C255" s="9"/>
      <c r="D255" s="9"/>
    </row>
    <row r="256" spans="3:4" ht="14.25" customHeight="1" x14ac:dyDescent="0.25">
      <c r="C256" s="9"/>
      <c r="D256" s="9"/>
    </row>
    <row r="257" spans="3:4" ht="14.25" customHeight="1" x14ac:dyDescent="0.25">
      <c r="C257" s="9"/>
      <c r="D257" s="9"/>
    </row>
    <row r="258" spans="3:4" ht="14.25" customHeight="1" x14ac:dyDescent="0.25">
      <c r="C258" s="9"/>
      <c r="D258" s="9"/>
    </row>
    <row r="259" spans="3:4" ht="14.25" customHeight="1" x14ac:dyDescent="0.25">
      <c r="C259" s="9"/>
      <c r="D259" s="9"/>
    </row>
    <row r="260" spans="3:4" ht="14.25" customHeight="1" x14ac:dyDescent="0.25">
      <c r="C260" s="9"/>
      <c r="D260" s="9"/>
    </row>
    <row r="261" spans="3:4" ht="14.25" customHeight="1" x14ac:dyDescent="0.25">
      <c r="C261" s="9"/>
      <c r="D261" s="9"/>
    </row>
    <row r="262" spans="3:4" ht="14.25" customHeight="1" x14ac:dyDescent="0.25">
      <c r="C262" s="9"/>
      <c r="D262" s="9"/>
    </row>
    <row r="263" spans="3:4" ht="14.25" customHeight="1" x14ac:dyDescent="0.25">
      <c r="C263" s="9"/>
      <c r="D263" s="9"/>
    </row>
    <row r="264" spans="3:4" ht="14.25" customHeight="1" x14ac:dyDescent="0.25">
      <c r="C264" s="9"/>
      <c r="D264" s="9"/>
    </row>
    <row r="265" spans="3:4" ht="14.25" customHeight="1" x14ac:dyDescent="0.25">
      <c r="C265" s="9"/>
      <c r="D265" s="9"/>
    </row>
    <row r="266" spans="3:4" ht="14.25" customHeight="1" x14ac:dyDescent="0.25">
      <c r="C266" s="9"/>
      <c r="D266" s="9"/>
    </row>
    <row r="267" spans="3:4" ht="14.25" customHeight="1" x14ac:dyDescent="0.25">
      <c r="C267" s="9"/>
      <c r="D267" s="9"/>
    </row>
    <row r="268" spans="3:4" ht="14.25" customHeight="1" x14ac:dyDescent="0.25">
      <c r="C268" s="9"/>
      <c r="D268" s="9"/>
    </row>
    <row r="269" spans="3:4" ht="14.25" customHeight="1" x14ac:dyDescent="0.25">
      <c r="C269" s="9"/>
      <c r="D269" s="9"/>
    </row>
    <row r="270" spans="3:4" ht="14.25" customHeight="1" x14ac:dyDescent="0.25">
      <c r="C270" s="9"/>
      <c r="D270" s="9"/>
    </row>
    <row r="271" spans="3:4" ht="14.25" customHeight="1" x14ac:dyDescent="0.25">
      <c r="C271" s="9"/>
      <c r="D271" s="9"/>
    </row>
    <row r="272" spans="3:4" ht="14.25" customHeight="1" x14ac:dyDescent="0.25">
      <c r="C272" s="9"/>
      <c r="D272" s="9"/>
    </row>
    <row r="273" spans="3:4" ht="14.25" customHeight="1" x14ac:dyDescent="0.25">
      <c r="C273" s="9"/>
      <c r="D273" s="9"/>
    </row>
    <row r="274" spans="3:4" ht="14.25" customHeight="1" x14ac:dyDescent="0.25">
      <c r="C274" s="9"/>
      <c r="D274" s="9"/>
    </row>
    <row r="275" spans="3:4" ht="14.25" customHeight="1" x14ac:dyDescent="0.25">
      <c r="C275" s="9"/>
      <c r="D275" s="9"/>
    </row>
    <row r="276" spans="3:4" ht="14.25" customHeight="1" x14ac:dyDescent="0.25">
      <c r="C276" s="9"/>
      <c r="D276" s="9"/>
    </row>
    <row r="277" spans="3:4" ht="14.25" customHeight="1" x14ac:dyDescent="0.25">
      <c r="C277" s="9"/>
      <c r="D277" s="9"/>
    </row>
    <row r="278" spans="3:4" ht="14.25" customHeight="1" x14ac:dyDescent="0.25">
      <c r="C278" s="9"/>
      <c r="D278" s="9"/>
    </row>
    <row r="279" spans="3:4" ht="14.25" customHeight="1" x14ac:dyDescent="0.25">
      <c r="C279" s="9"/>
      <c r="D279" s="9"/>
    </row>
    <row r="280" spans="3:4" ht="14.25" customHeight="1" x14ac:dyDescent="0.25">
      <c r="C280" s="9"/>
      <c r="D280" s="9"/>
    </row>
    <row r="281" spans="3:4" ht="14.25" customHeight="1" x14ac:dyDescent="0.25">
      <c r="C281" s="9"/>
      <c r="D281" s="9"/>
    </row>
    <row r="282" spans="3:4" ht="14.25" customHeight="1" x14ac:dyDescent="0.25">
      <c r="C282" s="9"/>
      <c r="D282" s="9"/>
    </row>
    <row r="283" spans="3:4" ht="14.25" customHeight="1" x14ac:dyDescent="0.25">
      <c r="C283" s="9"/>
      <c r="D283" s="9"/>
    </row>
    <row r="284" spans="3:4" ht="14.25" customHeight="1" x14ac:dyDescent="0.25">
      <c r="C284" s="9"/>
      <c r="D284" s="9"/>
    </row>
    <row r="285" spans="3:4" ht="14.25" customHeight="1" x14ac:dyDescent="0.25">
      <c r="C285" s="9"/>
      <c r="D285" s="9"/>
    </row>
    <row r="286" spans="3:4" ht="14.25" customHeight="1" x14ac:dyDescent="0.25">
      <c r="C286" s="9"/>
      <c r="D286" s="9"/>
    </row>
    <row r="287" spans="3:4" ht="14.25" customHeight="1" x14ac:dyDescent="0.25">
      <c r="C287" s="9"/>
      <c r="D287" s="9"/>
    </row>
    <row r="288" spans="3:4" ht="14.25" customHeight="1" x14ac:dyDescent="0.25">
      <c r="C288" s="9"/>
      <c r="D288" s="9"/>
    </row>
    <row r="289" spans="3:4" ht="14.25" customHeight="1" x14ac:dyDescent="0.25">
      <c r="C289" s="9"/>
      <c r="D289" s="9"/>
    </row>
    <row r="290" spans="3:4" ht="14.25" customHeight="1" x14ac:dyDescent="0.25">
      <c r="C290" s="9"/>
      <c r="D290" s="9"/>
    </row>
    <row r="291" spans="3:4" ht="14.25" customHeight="1" x14ac:dyDescent="0.25">
      <c r="C291" s="9"/>
      <c r="D291" s="9"/>
    </row>
    <row r="292" spans="3:4" ht="14.25" customHeight="1" x14ac:dyDescent="0.25">
      <c r="C292" s="9"/>
      <c r="D292" s="9"/>
    </row>
    <row r="293" spans="3:4" ht="14.25" customHeight="1" x14ac:dyDescent="0.25">
      <c r="C293" s="9"/>
      <c r="D293" s="9"/>
    </row>
    <row r="294" spans="3:4" ht="14.25" customHeight="1" x14ac:dyDescent="0.25">
      <c r="C294" s="9"/>
      <c r="D294" s="9"/>
    </row>
    <row r="295" spans="3:4" ht="14.25" customHeight="1" x14ac:dyDescent="0.25">
      <c r="C295" s="9"/>
      <c r="D295" s="9"/>
    </row>
    <row r="296" spans="3:4" ht="14.25" customHeight="1" x14ac:dyDescent="0.25">
      <c r="C296" s="9"/>
      <c r="D296" s="9"/>
    </row>
    <row r="297" spans="3:4" ht="14.25" customHeight="1" x14ac:dyDescent="0.25">
      <c r="C297" s="9"/>
      <c r="D297" s="9"/>
    </row>
    <row r="298" spans="3:4" ht="14.25" customHeight="1" x14ac:dyDescent="0.25">
      <c r="C298" s="9"/>
      <c r="D298" s="9"/>
    </row>
    <row r="299" spans="3:4" ht="14.25" customHeight="1" x14ac:dyDescent="0.25">
      <c r="C299" s="9"/>
      <c r="D299" s="9"/>
    </row>
    <row r="300" spans="3:4" ht="14.25" customHeight="1" x14ac:dyDescent="0.25">
      <c r="C300" s="9"/>
      <c r="D300" s="9"/>
    </row>
    <row r="301" spans="3:4" ht="14.25" customHeight="1" x14ac:dyDescent="0.25">
      <c r="C301" s="9"/>
      <c r="D301" s="9"/>
    </row>
    <row r="302" spans="3:4" ht="14.25" customHeight="1" x14ac:dyDescent="0.25">
      <c r="C302" s="9"/>
      <c r="D302" s="9"/>
    </row>
    <row r="303" spans="3:4" ht="14.25" customHeight="1" x14ac:dyDescent="0.25">
      <c r="C303" s="9"/>
      <c r="D303" s="9"/>
    </row>
    <row r="304" spans="3:4" ht="14.25" customHeight="1" x14ac:dyDescent="0.25">
      <c r="C304" s="9"/>
      <c r="D304" s="9"/>
    </row>
    <row r="305" spans="3:4" ht="14.25" customHeight="1" x14ac:dyDescent="0.25">
      <c r="C305" s="9"/>
      <c r="D305" s="9"/>
    </row>
    <row r="306" spans="3:4" ht="14.25" customHeight="1" x14ac:dyDescent="0.25">
      <c r="C306" s="9"/>
      <c r="D306" s="9"/>
    </row>
    <row r="307" spans="3:4" ht="14.25" customHeight="1" x14ac:dyDescent="0.25">
      <c r="C307" s="9"/>
      <c r="D307" s="9"/>
    </row>
    <row r="308" spans="3:4" ht="14.25" customHeight="1" x14ac:dyDescent="0.25">
      <c r="C308" s="9"/>
      <c r="D308" s="9"/>
    </row>
    <row r="309" spans="3:4" ht="14.25" customHeight="1" x14ac:dyDescent="0.25">
      <c r="C309" s="9"/>
      <c r="D309" s="9"/>
    </row>
    <row r="310" spans="3:4" ht="14.25" customHeight="1" x14ac:dyDescent="0.25">
      <c r="C310" s="9"/>
      <c r="D310" s="9"/>
    </row>
    <row r="311" spans="3:4" ht="14.25" customHeight="1" x14ac:dyDescent="0.25">
      <c r="C311" s="9"/>
      <c r="D311" s="9"/>
    </row>
    <row r="312" spans="3:4" ht="14.25" customHeight="1" x14ac:dyDescent="0.25">
      <c r="C312" s="9"/>
      <c r="D312" s="9"/>
    </row>
    <row r="313" spans="3:4" ht="14.25" customHeight="1" x14ac:dyDescent="0.25">
      <c r="C313" s="9"/>
      <c r="D313" s="9"/>
    </row>
    <row r="314" spans="3:4" ht="14.25" customHeight="1" x14ac:dyDescent="0.25">
      <c r="C314" s="9"/>
      <c r="D314" s="9"/>
    </row>
    <row r="315" spans="3:4" ht="14.25" customHeight="1" x14ac:dyDescent="0.25">
      <c r="C315" s="9"/>
      <c r="D315" s="9"/>
    </row>
    <row r="316" spans="3:4" ht="14.25" customHeight="1" x14ac:dyDescent="0.25">
      <c r="C316" s="9"/>
      <c r="D316" s="9"/>
    </row>
    <row r="317" spans="3:4" ht="14.25" customHeight="1" x14ac:dyDescent="0.25">
      <c r="C317" s="9"/>
      <c r="D317" s="9"/>
    </row>
    <row r="318" spans="3:4" ht="14.25" customHeight="1" x14ac:dyDescent="0.25">
      <c r="C318" s="9"/>
      <c r="D318" s="9"/>
    </row>
    <row r="319" spans="3:4" ht="14.25" customHeight="1" x14ac:dyDescent="0.25">
      <c r="C319" s="9"/>
      <c r="D319" s="9"/>
    </row>
    <row r="320" spans="3:4" ht="14.25" customHeight="1" x14ac:dyDescent="0.25">
      <c r="C320" s="9"/>
      <c r="D320" s="9"/>
    </row>
    <row r="321" spans="3:4" ht="14.25" customHeight="1" x14ac:dyDescent="0.25">
      <c r="C321" s="9"/>
      <c r="D321" s="9"/>
    </row>
    <row r="322" spans="3:4" ht="14.25" customHeight="1" x14ac:dyDescent="0.25">
      <c r="C322" s="9"/>
      <c r="D322" s="9"/>
    </row>
    <row r="323" spans="3:4" ht="14.25" customHeight="1" x14ac:dyDescent="0.25">
      <c r="C323" s="9"/>
      <c r="D323" s="9"/>
    </row>
    <row r="324" spans="3:4" ht="14.25" customHeight="1" x14ac:dyDescent="0.25">
      <c r="C324" s="9"/>
      <c r="D324" s="9"/>
    </row>
    <row r="325" spans="3:4" ht="14.25" customHeight="1" x14ac:dyDescent="0.25">
      <c r="C325" s="9"/>
      <c r="D325" s="9"/>
    </row>
    <row r="326" spans="3:4" ht="14.25" customHeight="1" x14ac:dyDescent="0.25">
      <c r="C326" s="9"/>
      <c r="D326" s="9"/>
    </row>
    <row r="327" spans="3:4" ht="14.25" customHeight="1" x14ac:dyDescent="0.25">
      <c r="C327" s="9"/>
      <c r="D327" s="9"/>
    </row>
    <row r="328" spans="3:4" ht="14.25" customHeight="1" x14ac:dyDescent="0.25">
      <c r="C328" s="9"/>
      <c r="D328" s="9"/>
    </row>
    <row r="329" spans="3:4" ht="14.25" customHeight="1" x14ac:dyDescent="0.25">
      <c r="C329" s="9"/>
      <c r="D329" s="9"/>
    </row>
    <row r="330" spans="3:4" ht="14.25" customHeight="1" x14ac:dyDescent="0.25">
      <c r="C330" s="9"/>
      <c r="D330" s="9"/>
    </row>
    <row r="331" spans="3:4" ht="14.25" customHeight="1" x14ac:dyDescent="0.25">
      <c r="C331" s="9"/>
      <c r="D331" s="9"/>
    </row>
    <row r="332" spans="3:4" ht="14.25" customHeight="1" x14ac:dyDescent="0.25">
      <c r="C332" s="9"/>
      <c r="D332" s="9"/>
    </row>
    <row r="333" spans="3:4" ht="14.25" customHeight="1" x14ac:dyDescent="0.25">
      <c r="C333" s="9"/>
      <c r="D333" s="9"/>
    </row>
    <row r="334" spans="3:4" ht="14.25" customHeight="1" x14ac:dyDescent="0.25">
      <c r="C334" s="9"/>
      <c r="D334" s="9"/>
    </row>
    <row r="335" spans="3:4" ht="14.25" customHeight="1" x14ac:dyDescent="0.25">
      <c r="C335" s="9"/>
      <c r="D335" s="9"/>
    </row>
    <row r="336" spans="3:4" ht="14.25" customHeight="1" x14ac:dyDescent="0.25">
      <c r="C336" s="9"/>
      <c r="D336" s="9"/>
    </row>
    <row r="337" spans="3:4" ht="14.25" customHeight="1" x14ac:dyDescent="0.25">
      <c r="C337" s="9"/>
      <c r="D337" s="9"/>
    </row>
    <row r="338" spans="3:4" ht="14.25" customHeight="1" x14ac:dyDescent="0.25">
      <c r="C338" s="9"/>
      <c r="D338" s="9"/>
    </row>
    <row r="339" spans="3:4" ht="14.25" customHeight="1" x14ac:dyDescent="0.25">
      <c r="C339" s="9"/>
      <c r="D339" s="9"/>
    </row>
    <row r="340" spans="3:4" ht="14.25" customHeight="1" x14ac:dyDescent="0.25">
      <c r="C340" s="9"/>
      <c r="D340" s="9"/>
    </row>
    <row r="341" spans="3:4" ht="14.25" customHeight="1" x14ac:dyDescent="0.25">
      <c r="C341" s="9"/>
      <c r="D341" s="9"/>
    </row>
    <row r="342" spans="3:4" ht="14.25" customHeight="1" x14ac:dyDescent="0.25">
      <c r="C342" s="9"/>
      <c r="D342" s="9"/>
    </row>
    <row r="343" spans="3:4" ht="14.25" customHeight="1" x14ac:dyDescent="0.25">
      <c r="C343" s="9"/>
      <c r="D343" s="9"/>
    </row>
    <row r="344" spans="3:4" ht="14.25" customHeight="1" x14ac:dyDescent="0.25">
      <c r="C344" s="9"/>
      <c r="D344" s="9"/>
    </row>
    <row r="345" spans="3:4" ht="14.25" customHeight="1" x14ac:dyDescent="0.25">
      <c r="C345" s="9"/>
      <c r="D345" s="9"/>
    </row>
    <row r="346" spans="3:4" ht="14.25" customHeight="1" x14ac:dyDescent="0.25">
      <c r="C346" s="9"/>
      <c r="D346" s="9"/>
    </row>
    <row r="347" spans="3:4" ht="14.25" customHeight="1" x14ac:dyDescent="0.25">
      <c r="C347" s="9"/>
      <c r="D347" s="9"/>
    </row>
    <row r="348" spans="3:4" ht="14.25" customHeight="1" x14ac:dyDescent="0.25">
      <c r="C348" s="9"/>
      <c r="D348" s="9"/>
    </row>
    <row r="349" spans="3:4" ht="14.25" customHeight="1" x14ac:dyDescent="0.25">
      <c r="C349" s="9"/>
      <c r="D349" s="9"/>
    </row>
    <row r="350" spans="3:4" ht="14.25" customHeight="1" x14ac:dyDescent="0.25">
      <c r="C350" s="9"/>
      <c r="D350" s="9"/>
    </row>
    <row r="351" spans="3:4" ht="14.25" customHeight="1" x14ac:dyDescent="0.25">
      <c r="C351" s="9"/>
      <c r="D351" s="9"/>
    </row>
    <row r="352" spans="3:4" ht="14.25" customHeight="1" x14ac:dyDescent="0.25">
      <c r="C352" s="9"/>
      <c r="D352" s="9"/>
    </row>
    <row r="353" spans="3:4" ht="14.25" customHeight="1" x14ac:dyDescent="0.25">
      <c r="C353" s="9"/>
      <c r="D353" s="9"/>
    </row>
    <row r="354" spans="3:4" ht="14.25" customHeight="1" x14ac:dyDescent="0.25">
      <c r="C354" s="9"/>
      <c r="D354" s="9"/>
    </row>
    <row r="355" spans="3:4" ht="14.25" customHeight="1" x14ac:dyDescent="0.25">
      <c r="C355" s="9"/>
      <c r="D355" s="9"/>
    </row>
    <row r="356" spans="3:4" ht="14.25" customHeight="1" x14ac:dyDescent="0.25">
      <c r="C356" s="9"/>
      <c r="D356" s="9"/>
    </row>
    <row r="357" spans="3:4" ht="14.25" customHeight="1" x14ac:dyDescent="0.25">
      <c r="C357" s="9"/>
      <c r="D357" s="9"/>
    </row>
    <row r="358" spans="3:4" ht="14.25" customHeight="1" x14ac:dyDescent="0.25">
      <c r="C358" s="9"/>
      <c r="D358" s="9"/>
    </row>
    <row r="359" spans="3:4" ht="14.25" customHeight="1" x14ac:dyDescent="0.25">
      <c r="C359" s="9"/>
      <c r="D359" s="9"/>
    </row>
    <row r="360" spans="3:4" ht="14.25" customHeight="1" x14ac:dyDescent="0.25">
      <c r="C360" s="9"/>
      <c r="D360" s="9"/>
    </row>
    <row r="361" spans="3:4" ht="14.25" customHeight="1" x14ac:dyDescent="0.25">
      <c r="C361" s="9"/>
      <c r="D361" s="9"/>
    </row>
    <row r="362" spans="3:4" ht="14.25" customHeight="1" x14ac:dyDescent="0.25">
      <c r="C362" s="9"/>
      <c r="D362" s="9"/>
    </row>
    <row r="363" spans="3:4" ht="14.25" customHeight="1" x14ac:dyDescent="0.25">
      <c r="C363" s="9"/>
      <c r="D363" s="9"/>
    </row>
    <row r="364" spans="3:4" ht="14.25" customHeight="1" x14ac:dyDescent="0.25">
      <c r="C364" s="9"/>
      <c r="D364" s="9"/>
    </row>
    <row r="365" spans="3:4" ht="14.25" customHeight="1" x14ac:dyDescent="0.25">
      <c r="C365" s="9"/>
      <c r="D365" s="9"/>
    </row>
    <row r="366" spans="3:4" ht="14.25" customHeight="1" x14ac:dyDescent="0.25">
      <c r="C366" s="9"/>
      <c r="D366" s="9"/>
    </row>
    <row r="367" spans="3:4" ht="14.25" customHeight="1" x14ac:dyDescent="0.25">
      <c r="C367" s="9"/>
      <c r="D367" s="9"/>
    </row>
    <row r="368" spans="3:4" ht="14.25" customHeight="1" x14ac:dyDescent="0.25">
      <c r="C368" s="9"/>
      <c r="D368" s="9"/>
    </row>
    <row r="369" spans="3:4" ht="14.25" customHeight="1" x14ac:dyDescent="0.25">
      <c r="C369" s="9"/>
      <c r="D369" s="9"/>
    </row>
    <row r="370" spans="3:4" ht="14.25" customHeight="1" x14ac:dyDescent="0.25">
      <c r="C370" s="9"/>
      <c r="D370" s="9"/>
    </row>
    <row r="371" spans="3:4" ht="14.25" customHeight="1" x14ac:dyDescent="0.25">
      <c r="C371" s="9"/>
      <c r="D371" s="9"/>
    </row>
    <row r="372" spans="3:4" ht="14.25" customHeight="1" x14ac:dyDescent="0.25">
      <c r="C372" s="9"/>
      <c r="D372" s="9"/>
    </row>
    <row r="373" spans="3:4" ht="14.25" customHeight="1" x14ac:dyDescent="0.25">
      <c r="C373" s="9"/>
      <c r="D373" s="9"/>
    </row>
    <row r="374" spans="3:4" ht="14.25" customHeight="1" x14ac:dyDescent="0.25">
      <c r="C374" s="9"/>
      <c r="D374" s="9"/>
    </row>
    <row r="375" spans="3:4" ht="14.25" customHeight="1" x14ac:dyDescent="0.25">
      <c r="C375" s="9"/>
      <c r="D375" s="9"/>
    </row>
    <row r="376" spans="3:4" ht="14.25" customHeight="1" x14ac:dyDescent="0.25">
      <c r="C376" s="9"/>
      <c r="D376" s="9"/>
    </row>
    <row r="377" spans="3:4" ht="14.25" customHeight="1" x14ac:dyDescent="0.25">
      <c r="C377" s="9"/>
      <c r="D377" s="9"/>
    </row>
    <row r="378" spans="3:4" ht="14.25" customHeight="1" x14ac:dyDescent="0.25">
      <c r="C378" s="9"/>
      <c r="D378" s="9"/>
    </row>
    <row r="379" spans="3:4" ht="14.25" customHeight="1" x14ac:dyDescent="0.25">
      <c r="C379" s="9"/>
      <c r="D379" s="9"/>
    </row>
    <row r="380" spans="3:4" ht="14.25" customHeight="1" x14ac:dyDescent="0.25">
      <c r="C380" s="9"/>
      <c r="D380" s="9"/>
    </row>
    <row r="381" spans="3:4" ht="14.25" customHeight="1" x14ac:dyDescent="0.25">
      <c r="C381" s="9"/>
      <c r="D381" s="9"/>
    </row>
    <row r="382" spans="3:4" ht="14.25" customHeight="1" x14ac:dyDescent="0.25">
      <c r="C382" s="9"/>
      <c r="D382" s="9"/>
    </row>
    <row r="383" spans="3:4" ht="14.25" customHeight="1" x14ac:dyDescent="0.25">
      <c r="C383" s="9"/>
      <c r="D383" s="9"/>
    </row>
    <row r="384" spans="3:4" ht="14.25" customHeight="1" x14ac:dyDescent="0.25">
      <c r="C384" s="9"/>
      <c r="D384" s="9"/>
    </row>
    <row r="385" spans="3:4" ht="14.25" customHeight="1" x14ac:dyDescent="0.25">
      <c r="C385" s="9"/>
      <c r="D385" s="9"/>
    </row>
    <row r="386" spans="3:4" ht="14.25" customHeight="1" x14ac:dyDescent="0.25">
      <c r="C386" s="9"/>
      <c r="D386" s="9"/>
    </row>
    <row r="387" spans="3:4" ht="14.25" customHeight="1" x14ac:dyDescent="0.25">
      <c r="C387" s="9"/>
      <c r="D387" s="9"/>
    </row>
    <row r="388" spans="3:4" ht="14.25" customHeight="1" x14ac:dyDescent="0.25">
      <c r="C388" s="9"/>
      <c r="D388" s="9"/>
    </row>
    <row r="389" spans="3:4" ht="14.25" customHeight="1" x14ac:dyDescent="0.25">
      <c r="C389" s="9"/>
      <c r="D389" s="9"/>
    </row>
    <row r="390" spans="3:4" ht="14.25" customHeight="1" x14ac:dyDescent="0.25">
      <c r="C390" s="9"/>
      <c r="D390" s="9"/>
    </row>
    <row r="391" spans="3:4" ht="14.25" customHeight="1" x14ac:dyDescent="0.25">
      <c r="C391" s="9"/>
      <c r="D391" s="9"/>
    </row>
    <row r="392" spans="3:4" ht="14.25" customHeight="1" x14ac:dyDescent="0.25">
      <c r="C392" s="9"/>
      <c r="D392" s="9"/>
    </row>
    <row r="393" spans="3:4" ht="14.25" customHeight="1" x14ac:dyDescent="0.25">
      <c r="C393" s="9"/>
      <c r="D393" s="9"/>
    </row>
    <row r="394" spans="3:4" ht="14.25" customHeight="1" x14ac:dyDescent="0.25">
      <c r="C394" s="9"/>
      <c r="D394" s="9"/>
    </row>
    <row r="395" spans="3:4" ht="14.25" customHeight="1" x14ac:dyDescent="0.25">
      <c r="C395" s="9"/>
      <c r="D395" s="9"/>
    </row>
    <row r="396" spans="3:4" ht="14.25" customHeight="1" x14ac:dyDescent="0.25">
      <c r="C396" s="9"/>
      <c r="D396" s="9"/>
    </row>
    <row r="397" spans="3:4" ht="14.25" customHeight="1" x14ac:dyDescent="0.25">
      <c r="C397" s="9"/>
      <c r="D397" s="9"/>
    </row>
    <row r="398" spans="3:4" ht="14.25" customHeight="1" x14ac:dyDescent="0.25">
      <c r="C398" s="9"/>
      <c r="D398" s="9"/>
    </row>
    <row r="399" spans="3:4" ht="14.25" customHeight="1" x14ac:dyDescent="0.25">
      <c r="C399" s="9"/>
      <c r="D399" s="9"/>
    </row>
    <row r="400" spans="3:4" ht="14.25" customHeight="1" x14ac:dyDescent="0.25">
      <c r="C400" s="9"/>
      <c r="D400" s="9"/>
    </row>
    <row r="401" spans="3:4" ht="14.25" customHeight="1" x14ac:dyDescent="0.25">
      <c r="C401" s="9"/>
      <c r="D401" s="9"/>
    </row>
    <row r="402" spans="3:4" ht="14.25" customHeight="1" x14ac:dyDescent="0.25">
      <c r="C402" s="9"/>
      <c r="D402" s="9"/>
    </row>
    <row r="403" spans="3:4" ht="14.25" customHeight="1" x14ac:dyDescent="0.25">
      <c r="C403" s="9"/>
      <c r="D403" s="9"/>
    </row>
    <row r="404" spans="3:4" ht="14.25" customHeight="1" x14ac:dyDescent="0.25">
      <c r="C404" s="9"/>
      <c r="D404" s="9"/>
    </row>
    <row r="405" spans="3:4" ht="14.25" customHeight="1" x14ac:dyDescent="0.25">
      <c r="C405" s="9"/>
      <c r="D405" s="9"/>
    </row>
    <row r="406" spans="3:4" ht="14.25" customHeight="1" x14ac:dyDescent="0.25">
      <c r="C406" s="9"/>
      <c r="D406" s="9"/>
    </row>
    <row r="407" spans="3:4" ht="14.25" customHeight="1" x14ac:dyDescent="0.25">
      <c r="C407" s="9"/>
      <c r="D407" s="9"/>
    </row>
    <row r="408" spans="3:4" ht="14.25" customHeight="1" x14ac:dyDescent="0.25">
      <c r="C408" s="9"/>
      <c r="D408" s="9"/>
    </row>
    <row r="409" spans="3:4" ht="14.25" customHeight="1" x14ac:dyDescent="0.25">
      <c r="C409" s="9"/>
      <c r="D409" s="9"/>
    </row>
    <row r="410" spans="3:4" ht="14.25" customHeight="1" x14ac:dyDescent="0.25">
      <c r="C410" s="9"/>
      <c r="D410" s="9"/>
    </row>
    <row r="411" spans="3:4" ht="14.25" customHeight="1" x14ac:dyDescent="0.25">
      <c r="C411" s="9"/>
      <c r="D411" s="9"/>
    </row>
    <row r="412" spans="3:4" ht="14.25" customHeight="1" x14ac:dyDescent="0.25">
      <c r="C412" s="9"/>
      <c r="D412" s="9"/>
    </row>
    <row r="413" spans="3:4" ht="14.25" customHeight="1" x14ac:dyDescent="0.25">
      <c r="C413" s="9"/>
      <c r="D413" s="9"/>
    </row>
    <row r="414" spans="3:4" ht="14.25" customHeight="1" x14ac:dyDescent="0.25">
      <c r="C414" s="9"/>
      <c r="D414" s="9"/>
    </row>
    <row r="415" spans="3:4" ht="14.25" customHeight="1" x14ac:dyDescent="0.25">
      <c r="C415" s="9"/>
      <c r="D415" s="9"/>
    </row>
    <row r="416" spans="3:4" ht="14.25" customHeight="1" x14ac:dyDescent="0.25">
      <c r="C416" s="9"/>
      <c r="D416" s="9"/>
    </row>
    <row r="417" spans="3:4" ht="14.25" customHeight="1" x14ac:dyDescent="0.25">
      <c r="C417" s="9"/>
      <c r="D417" s="9"/>
    </row>
    <row r="418" spans="3:4" ht="14.25" customHeight="1" x14ac:dyDescent="0.25">
      <c r="C418" s="9"/>
      <c r="D418" s="9"/>
    </row>
    <row r="419" spans="3:4" ht="14.25" customHeight="1" x14ac:dyDescent="0.25">
      <c r="C419" s="9"/>
      <c r="D419" s="9"/>
    </row>
    <row r="420" spans="3:4" ht="14.25" customHeight="1" x14ac:dyDescent="0.25">
      <c r="C420" s="9"/>
      <c r="D420" s="9"/>
    </row>
    <row r="421" spans="3:4" ht="14.25" customHeight="1" x14ac:dyDescent="0.25">
      <c r="C421" s="9"/>
      <c r="D421" s="9"/>
    </row>
    <row r="422" spans="3:4" ht="14.25" customHeight="1" x14ac:dyDescent="0.25">
      <c r="C422" s="9"/>
      <c r="D422" s="9"/>
    </row>
    <row r="423" spans="3:4" ht="14.25" customHeight="1" x14ac:dyDescent="0.25">
      <c r="C423" s="9"/>
      <c r="D423" s="9"/>
    </row>
    <row r="424" spans="3:4" ht="14.25" customHeight="1" x14ac:dyDescent="0.25">
      <c r="C424" s="9"/>
      <c r="D424" s="9"/>
    </row>
    <row r="425" spans="3:4" ht="14.25" customHeight="1" x14ac:dyDescent="0.25">
      <c r="C425" s="9"/>
      <c r="D425" s="9"/>
    </row>
    <row r="426" spans="3:4" ht="14.25" customHeight="1" x14ac:dyDescent="0.25">
      <c r="C426" s="9"/>
      <c r="D426" s="9"/>
    </row>
    <row r="427" spans="3:4" ht="14.25" customHeight="1" x14ac:dyDescent="0.25">
      <c r="C427" s="9"/>
      <c r="D427" s="9"/>
    </row>
    <row r="428" spans="3:4" ht="14.25" customHeight="1" x14ac:dyDescent="0.25">
      <c r="C428" s="9"/>
      <c r="D428" s="9"/>
    </row>
    <row r="429" spans="3:4" ht="14.25" customHeight="1" x14ac:dyDescent="0.25">
      <c r="C429" s="9"/>
      <c r="D429" s="9"/>
    </row>
    <row r="430" spans="3:4" ht="14.25" customHeight="1" x14ac:dyDescent="0.25">
      <c r="C430" s="9"/>
      <c r="D430" s="9"/>
    </row>
    <row r="431" spans="3:4" ht="14.25" customHeight="1" x14ac:dyDescent="0.25">
      <c r="C431" s="9"/>
      <c r="D431" s="9"/>
    </row>
    <row r="432" spans="3:4" ht="14.25" customHeight="1" x14ac:dyDescent="0.25">
      <c r="C432" s="9"/>
      <c r="D432" s="9"/>
    </row>
    <row r="433" spans="3:4" ht="14.25" customHeight="1" x14ac:dyDescent="0.25">
      <c r="C433" s="9"/>
      <c r="D433" s="9"/>
    </row>
    <row r="434" spans="3:4" ht="14.25" customHeight="1" x14ac:dyDescent="0.25">
      <c r="C434" s="9"/>
      <c r="D434" s="9"/>
    </row>
    <row r="435" spans="3:4" ht="14.25" customHeight="1" x14ac:dyDescent="0.25">
      <c r="C435" s="9"/>
      <c r="D435" s="9"/>
    </row>
    <row r="436" spans="3:4" ht="14.25" customHeight="1" x14ac:dyDescent="0.25">
      <c r="C436" s="9"/>
      <c r="D436" s="9"/>
    </row>
    <row r="437" spans="3:4" ht="14.25" customHeight="1" x14ac:dyDescent="0.25">
      <c r="C437" s="9"/>
      <c r="D437" s="9"/>
    </row>
    <row r="438" spans="3:4" ht="14.25" customHeight="1" x14ac:dyDescent="0.25">
      <c r="C438" s="9"/>
      <c r="D438" s="9"/>
    </row>
    <row r="439" spans="3:4" ht="14.25" customHeight="1" x14ac:dyDescent="0.25">
      <c r="C439" s="9"/>
      <c r="D439" s="9"/>
    </row>
    <row r="440" spans="3:4" ht="14.25" customHeight="1" x14ac:dyDescent="0.25">
      <c r="C440" s="9"/>
      <c r="D440" s="9"/>
    </row>
    <row r="441" spans="3:4" ht="14.25" customHeight="1" x14ac:dyDescent="0.25">
      <c r="C441" s="9"/>
      <c r="D441" s="9"/>
    </row>
    <row r="442" spans="3:4" ht="14.25" customHeight="1" x14ac:dyDescent="0.25">
      <c r="C442" s="9"/>
      <c r="D442" s="9"/>
    </row>
    <row r="443" spans="3:4" ht="14.25" customHeight="1" x14ac:dyDescent="0.25">
      <c r="C443" s="9"/>
      <c r="D443" s="9"/>
    </row>
    <row r="444" spans="3:4" ht="14.25" customHeight="1" x14ac:dyDescent="0.25">
      <c r="C444" s="9"/>
      <c r="D444" s="9"/>
    </row>
    <row r="445" spans="3:4" ht="14.25" customHeight="1" x14ac:dyDescent="0.25">
      <c r="C445" s="9"/>
      <c r="D445" s="9"/>
    </row>
    <row r="446" spans="3:4" ht="14.25" customHeight="1" x14ac:dyDescent="0.25">
      <c r="C446" s="9"/>
      <c r="D446" s="9"/>
    </row>
    <row r="447" spans="3:4" ht="14.25" customHeight="1" x14ac:dyDescent="0.25">
      <c r="C447" s="9"/>
      <c r="D447" s="9"/>
    </row>
    <row r="448" spans="3:4" ht="14.25" customHeight="1" x14ac:dyDescent="0.25">
      <c r="C448" s="9"/>
      <c r="D448" s="9"/>
    </row>
    <row r="449" spans="3:4" ht="14.25" customHeight="1" x14ac:dyDescent="0.25">
      <c r="C449" s="9"/>
      <c r="D449" s="9"/>
    </row>
    <row r="450" spans="3:4" ht="14.25" customHeight="1" x14ac:dyDescent="0.25">
      <c r="C450" s="9"/>
      <c r="D450" s="9"/>
    </row>
    <row r="451" spans="3:4" ht="14.25" customHeight="1" x14ac:dyDescent="0.25">
      <c r="C451" s="9"/>
      <c r="D451" s="9"/>
    </row>
    <row r="452" spans="3:4" ht="14.25" customHeight="1" x14ac:dyDescent="0.25">
      <c r="C452" s="9"/>
      <c r="D452" s="9"/>
    </row>
    <row r="453" spans="3:4" ht="14.25" customHeight="1" x14ac:dyDescent="0.25">
      <c r="C453" s="9"/>
      <c r="D453" s="9"/>
    </row>
    <row r="454" spans="3:4" ht="14.25" customHeight="1" x14ac:dyDescent="0.25">
      <c r="C454" s="9"/>
      <c r="D454" s="9"/>
    </row>
    <row r="455" spans="3:4" ht="14.25" customHeight="1" x14ac:dyDescent="0.25">
      <c r="C455" s="9"/>
      <c r="D455" s="9"/>
    </row>
    <row r="456" spans="3:4" ht="14.25" customHeight="1" x14ac:dyDescent="0.25">
      <c r="C456" s="9"/>
      <c r="D456" s="9"/>
    </row>
    <row r="457" spans="3:4" ht="14.25" customHeight="1" x14ac:dyDescent="0.25">
      <c r="C457" s="9"/>
      <c r="D457" s="9"/>
    </row>
    <row r="458" spans="3:4" ht="14.25" customHeight="1" x14ac:dyDescent="0.25">
      <c r="C458" s="9"/>
      <c r="D458" s="9"/>
    </row>
    <row r="459" spans="3:4" ht="14.25" customHeight="1" x14ac:dyDescent="0.25">
      <c r="C459" s="9"/>
      <c r="D459" s="9"/>
    </row>
    <row r="460" spans="3:4" ht="14.25" customHeight="1" x14ac:dyDescent="0.25">
      <c r="C460" s="9"/>
      <c r="D460" s="9"/>
    </row>
    <row r="461" spans="3:4" ht="14.25" customHeight="1" x14ac:dyDescent="0.25">
      <c r="C461" s="9"/>
      <c r="D461" s="9"/>
    </row>
    <row r="462" spans="3:4" ht="14.25" customHeight="1" x14ac:dyDescent="0.25">
      <c r="C462" s="9"/>
      <c r="D462" s="9"/>
    </row>
    <row r="463" spans="3:4" ht="14.25" customHeight="1" x14ac:dyDescent="0.25">
      <c r="C463" s="9"/>
      <c r="D463" s="9"/>
    </row>
    <row r="464" spans="3:4" ht="14.25" customHeight="1" x14ac:dyDescent="0.25">
      <c r="C464" s="9"/>
      <c r="D464" s="9"/>
    </row>
    <row r="465" spans="3:4" ht="14.25" customHeight="1" x14ac:dyDescent="0.25">
      <c r="C465" s="9"/>
      <c r="D465" s="9"/>
    </row>
    <row r="466" spans="3:4" ht="14.25" customHeight="1" x14ac:dyDescent="0.25">
      <c r="C466" s="9"/>
      <c r="D466" s="9"/>
    </row>
    <row r="467" spans="3:4" ht="14.25" customHeight="1" x14ac:dyDescent="0.25">
      <c r="C467" s="9"/>
      <c r="D467" s="9"/>
    </row>
    <row r="468" spans="3:4" ht="14.25" customHeight="1" x14ac:dyDescent="0.25">
      <c r="C468" s="9"/>
      <c r="D468" s="9"/>
    </row>
    <row r="469" spans="3:4" ht="14.25" customHeight="1" x14ac:dyDescent="0.25">
      <c r="C469" s="9"/>
      <c r="D469" s="9"/>
    </row>
    <row r="470" spans="3:4" ht="14.25" customHeight="1" x14ac:dyDescent="0.25">
      <c r="C470" s="9"/>
      <c r="D470" s="9"/>
    </row>
    <row r="471" spans="3:4" ht="14.25" customHeight="1" x14ac:dyDescent="0.25">
      <c r="C471" s="9"/>
      <c r="D471" s="9"/>
    </row>
    <row r="472" spans="3:4" ht="14.25" customHeight="1" x14ac:dyDescent="0.25">
      <c r="C472" s="9"/>
      <c r="D472" s="9"/>
    </row>
    <row r="473" spans="3:4" ht="14.25" customHeight="1" x14ac:dyDescent="0.25">
      <c r="C473" s="9"/>
      <c r="D473" s="9"/>
    </row>
    <row r="474" spans="3:4" ht="14.25" customHeight="1" x14ac:dyDescent="0.25">
      <c r="C474" s="9"/>
      <c r="D474" s="9"/>
    </row>
    <row r="475" spans="3:4" ht="14.25" customHeight="1" x14ac:dyDescent="0.25">
      <c r="C475" s="9"/>
      <c r="D475" s="9"/>
    </row>
    <row r="476" spans="3:4" ht="14.25" customHeight="1" x14ac:dyDescent="0.25">
      <c r="C476" s="9"/>
      <c r="D476" s="9"/>
    </row>
    <row r="477" spans="3:4" ht="14.25" customHeight="1" x14ac:dyDescent="0.25">
      <c r="C477" s="9"/>
      <c r="D477" s="9"/>
    </row>
    <row r="478" spans="3:4" ht="14.25" customHeight="1" x14ac:dyDescent="0.25">
      <c r="C478" s="9"/>
      <c r="D478" s="9"/>
    </row>
    <row r="479" spans="3:4" ht="14.25" customHeight="1" x14ac:dyDescent="0.25">
      <c r="C479" s="9"/>
      <c r="D479" s="9"/>
    </row>
    <row r="480" spans="3:4" ht="14.25" customHeight="1" x14ac:dyDescent="0.25">
      <c r="C480" s="9"/>
      <c r="D480" s="9"/>
    </row>
    <row r="481" spans="3:4" ht="14.25" customHeight="1" x14ac:dyDescent="0.25">
      <c r="C481" s="9"/>
      <c r="D481" s="9"/>
    </row>
    <row r="482" spans="3:4" ht="14.25" customHeight="1" x14ac:dyDescent="0.25">
      <c r="C482" s="9"/>
      <c r="D482" s="9"/>
    </row>
    <row r="483" spans="3:4" ht="14.25" customHeight="1" x14ac:dyDescent="0.25">
      <c r="C483" s="9"/>
      <c r="D483" s="9"/>
    </row>
    <row r="484" spans="3:4" ht="14.25" customHeight="1" x14ac:dyDescent="0.25">
      <c r="C484" s="9"/>
      <c r="D484" s="9"/>
    </row>
    <row r="485" spans="3:4" ht="14.25" customHeight="1" x14ac:dyDescent="0.25">
      <c r="C485" s="9"/>
      <c r="D485" s="9"/>
    </row>
    <row r="486" spans="3:4" ht="14.25" customHeight="1" x14ac:dyDescent="0.25">
      <c r="C486" s="9"/>
      <c r="D486" s="9"/>
    </row>
    <row r="487" spans="3:4" ht="14.25" customHeight="1" x14ac:dyDescent="0.25">
      <c r="C487" s="9"/>
      <c r="D487" s="9"/>
    </row>
    <row r="488" spans="3:4" ht="14.25" customHeight="1" x14ac:dyDescent="0.25">
      <c r="C488" s="9"/>
      <c r="D488" s="9"/>
    </row>
    <row r="489" spans="3:4" ht="14.25" customHeight="1" x14ac:dyDescent="0.25">
      <c r="C489" s="9"/>
      <c r="D489" s="9"/>
    </row>
    <row r="490" spans="3:4" ht="14.25" customHeight="1" x14ac:dyDescent="0.25">
      <c r="C490" s="9"/>
      <c r="D490" s="9"/>
    </row>
    <row r="491" spans="3:4" ht="14.25" customHeight="1" x14ac:dyDescent="0.25">
      <c r="C491" s="9"/>
      <c r="D491" s="9"/>
    </row>
    <row r="492" spans="3:4" ht="14.25" customHeight="1" x14ac:dyDescent="0.25">
      <c r="C492" s="9"/>
      <c r="D492" s="9"/>
    </row>
    <row r="493" spans="3:4" ht="14.25" customHeight="1" x14ac:dyDescent="0.25">
      <c r="C493" s="9"/>
      <c r="D493" s="9"/>
    </row>
    <row r="494" spans="3:4" ht="14.25" customHeight="1" x14ac:dyDescent="0.25">
      <c r="C494" s="9"/>
      <c r="D494" s="9"/>
    </row>
    <row r="495" spans="3:4" ht="14.25" customHeight="1" x14ac:dyDescent="0.25">
      <c r="C495" s="9"/>
      <c r="D495" s="9"/>
    </row>
    <row r="496" spans="3:4" ht="14.25" customHeight="1" x14ac:dyDescent="0.25">
      <c r="C496" s="9"/>
      <c r="D496" s="9"/>
    </row>
    <row r="497" spans="3:4" ht="14.25" customHeight="1" x14ac:dyDescent="0.25">
      <c r="C497" s="9"/>
      <c r="D497" s="9"/>
    </row>
    <row r="498" spans="3:4" ht="14.25" customHeight="1" x14ac:dyDescent="0.25">
      <c r="C498" s="9"/>
      <c r="D498" s="9"/>
    </row>
    <row r="499" spans="3:4" ht="14.25" customHeight="1" x14ac:dyDescent="0.25">
      <c r="C499" s="9"/>
      <c r="D499" s="9"/>
    </row>
    <row r="500" spans="3:4" ht="14.25" customHeight="1" x14ac:dyDescent="0.25">
      <c r="C500" s="9"/>
      <c r="D500" s="9"/>
    </row>
    <row r="501" spans="3:4" ht="14.25" customHeight="1" x14ac:dyDescent="0.25">
      <c r="C501" s="9"/>
      <c r="D501" s="9"/>
    </row>
    <row r="502" spans="3:4" ht="14.25" customHeight="1" x14ac:dyDescent="0.25">
      <c r="C502" s="9"/>
      <c r="D502" s="9"/>
    </row>
    <row r="503" spans="3:4" ht="14.25" customHeight="1" x14ac:dyDescent="0.25">
      <c r="C503" s="9"/>
      <c r="D503" s="9"/>
    </row>
    <row r="504" spans="3:4" ht="14.25" customHeight="1" x14ac:dyDescent="0.25">
      <c r="C504" s="9"/>
      <c r="D504" s="9"/>
    </row>
    <row r="505" spans="3:4" ht="14.25" customHeight="1" x14ac:dyDescent="0.25">
      <c r="C505" s="9"/>
      <c r="D505" s="9"/>
    </row>
    <row r="506" spans="3:4" ht="14.25" customHeight="1" x14ac:dyDescent="0.25">
      <c r="C506" s="9"/>
      <c r="D506" s="9"/>
    </row>
    <row r="507" spans="3:4" ht="14.25" customHeight="1" x14ac:dyDescent="0.25">
      <c r="C507" s="9"/>
      <c r="D507" s="9"/>
    </row>
    <row r="508" spans="3:4" ht="14.25" customHeight="1" x14ac:dyDescent="0.25">
      <c r="C508" s="9"/>
      <c r="D508" s="9"/>
    </row>
    <row r="509" spans="3:4" ht="14.25" customHeight="1" x14ac:dyDescent="0.25">
      <c r="C509" s="9"/>
      <c r="D509" s="9"/>
    </row>
    <row r="510" spans="3:4" ht="14.25" customHeight="1" x14ac:dyDescent="0.25">
      <c r="C510" s="9"/>
      <c r="D510" s="9"/>
    </row>
    <row r="511" spans="3:4" ht="14.25" customHeight="1" x14ac:dyDescent="0.25">
      <c r="C511" s="9"/>
      <c r="D511" s="9"/>
    </row>
    <row r="512" spans="3:4" ht="14.25" customHeight="1" x14ac:dyDescent="0.25">
      <c r="C512" s="9"/>
      <c r="D512" s="9"/>
    </row>
    <row r="513" spans="3:4" ht="14.25" customHeight="1" x14ac:dyDescent="0.25">
      <c r="C513" s="9"/>
      <c r="D513" s="9"/>
    </row>
    <row r="514" spans="3:4" ht="14.25" customHeight="1" x14ac:dyDescent="0.25">
      <c r="C514" s="9"/>
      <c r="D514" s="9"/>
    </row>
    <row r="515" spans="3:4" ht="14.25" customHeight="1" x14ac:dyDescent="0.25">
      <c r="C515" s="9"/>
      <c r="D515" s="9"/>
    </row>
    <row r="516" spans="3:4" ht="14.25" customHeight="1" x14ac:dyDescent="0.25">
      <c r="C516" s="9"/>
      <c r="D516" s="9"/>
    </row>
    <row r="517" spans="3:4" ht="14.25" customHeight="1" x14ac:dyDescent="0.25">
      <c r="C517" s="9"/>
      <c r="D517" s="9"/>
    </row>
    <row r="518" spans="3:4" ht="14.25" customHeight="1" x14ac:dyDescent="0.25">
      <c r="C518" s="9"/>
      <c r="D518" s="9"/>
    </row>
    <row r="519" spans="3:4" ht="14.25" customHeight="1" x14ac:dyDescent="0.25">
      <c r="C519" s="9"/>
      <c r="D519" s="9"/>
    </row>
    <row r="520" spans="3:4" ht="14.25" customHeight="1" x14ac:dyDescent="0.25">
      <c r="C520" s="9"/>
      <c r="D520" s="9"/>
    </row>
    <row r="521" spans="3:4" ht="14.25" customHeight="1" x14ac:dyDescent="0.25">
      <c r="C521" s="9"/>
      <c r="D521" s="9"/>
    </row>
    <row r="522" spans="3:4" ht="14.25" customHeight="1" x14ac:dyDescent="0.25">
      <c r="C522" s="9"/>
      <c r="D522" s="9"/>
    </row>
    <row r="523" spans="3:4" ht="14.25" customHeight="1" x14ac:dyDescent="0.25">
      <c r="C523" s="9"/>
      <c r="D523" s="9"/>
    </row>
    <row r="524" spans="3:4" ht="14.25" customHeight="1" x14ac:dyDescent="0.25">
      <c r="C524" s="9"/>
      <c r="D524" s="9"/>
    </row>
    <row r="525" spans="3:4" ht="14.25" customHeight="1" x14ac:dyDescent="0.25">
      <c r="C525" s="9"/>
      <c r="D525" s="9"/>
    </row>
    <row r="526" spans="3:4" ht="14.25" customHeight="1" x14ac:dyDescent="0.25">
      <c r="C526" s="9"/>
      <c r="D526" s="9"/>
    </row>
    <row r="527" spans="3:4" ht="14.25" customHeight="1" x14ac:dyDescent="0.25">
      <c r="C527" s="9"/>
      <c r="D527" s="9"/>
    </row>
    <row r="528" spans="3:4" ht="14.25" customHeight="1" x14ac:dyDescent="0.25">
      <c r="C528" s="9"/>
      <c r="D528" s="9"/>
    </row>
    <row r="529" spans="3:4" ht="14.25" customHeight="1" x14ac:dyDescent="0.25">
      <c r="C529" s="9"/>
      <c r="D529" s="9"/>
    </row>
    <row r="530" spans="3:4" ht="14.25" customHeight="1" x14ac:dyDescent="0.25">
      <c r="C530" s="9"/>
      <c r="D530" s="9"/>
    </row>
    <row r="531" spans="3:4" ht="14.25" customHeight="1" x14ac:dyDescent="0.25">
      <c r="C531" s="9"/>
      <c r="D531" s="9"/>
    </row>
    <row r="532" spans="3:4" ht="14.25" customHeight="1" x14ac:dyDescent="0.25">
      <c r="C532" s="9"/>
      <c r="D532" s="9"/>
    </row>
    <row r="533" spans="3:4" ht="14.25" customHeight="1" x14ac:dyDescent="0.25">
      <c r="C533" s="9"/>
      <c r="D533" s="9"/>
    </row>
    <row r="534" spans="3:4" ht="14.25" customHeight="1" x14ac:dyDescent="0.25">
      <c r="C534" s="9"/>
      <c r="D534" s="9"/>
    </row>
    <row r="535" spans="3:4" ht="14.25" customHeight="1" x14ac:dyDescent="0.25">
      <c r="C535" s="9"/>
      <c r="D535" s="9"/>
    </row>
    <row r="536" spans="3:4" ht="14.25" customHeight="1" x14ac:dyDescent="0.25">
      <c r="C536" s="9"/>
      <c r="D536" s="9"/>
    </row>
    <row r="537" spans="3:4" ht="14.25" customHeight="1" x14ac:dyDescent="0.25">
      <c r="C537" s="9"/>
      <c r="D537" s="9"/>
    </row>
    <row r="538" spans="3:4" ht="14.25" customHeight="1" x14ac:dyDescent="0.25">
      <c r="C538" s="9"/>
      <c r="D538" s="9"/>
    </row>
    <row r="539" spans="3:4" ht="14.25" customHeight="1" x14ac:dyDescent="0.25">
      <c r="C539" s="9"/>
      <c r="D539" s="9"/>
    </row>
    <row r="540" spans="3:4" ht="14.25" customHeight="1" x14ac:dyDescent="0.25">
      <c r="C540" s="9"/>
      <c r="D540" s="9"/>
    </row>
    <row r="541" spans="3:4" ht="14.25" customHeight="1" x14ac:dyDescent="0.25">
      <c r="C541" s="9"/>
      <c r="D541" s="9"/>
    </row>
    <row r="542" spans="3:4" ht="14.25" customHeight="1" x14ac:dyDescent="0.25">
      <c r="C542" s="9"/>
      <c r="D542" s="9"/>
    </row>
    <row r="543" spans="3:4" ht="14.25" customHeight="1" x14ac:dyDescent="0.25">
      <c r="C543" s="9"/>
      <c r="D543" s="9"/>
    </row>
    <row r="544" spans="3:4" ht="14.25" customHeight="1" x14ac:dyDescent="0.25">
      <c r="C544" s="9"/>
      <c r="D544" s="9"/>
    </row>
    <row r="545" spans="3:4" ht="14.25" customHeight="1" x14ac:dyDescent="0.25">
      <c r="C545" s="9"/>
      <c r="D545" s="9"/>
    </row>
    <row r="546" spans="3:4" ht="14.25" customHeight="1" x14ac:dyDescent="0.25">
      <c r="C546" s="9"/>
      <c r="D546" s="9"/>
    </row>
    <row r="547" spans="3:4" ht="14.25" customHeight="1" x14ac:dyDescent="0.25">
      <c r="C547" s="9"/>
      <c r="D547" s="9"/>
    </row>
    <row r="548" spans="3:4" ht="14.25" customHeight="1" x14ac:dyDescent="0.25">
      <c r="C548" s="9"/>
      <c r="D548" s="9"/>
    </row>
    <row r="549" spans="3:4" ht="14.25" customHeight="1" x14ac:dyDescent="0.25">
      <c r="C549" s="9"/>
      <c r="D549" s="9"/>
    </row>
    <row r="550" spans="3:4" ht="14.25" customHeight="1" x14ac:dyDescent="0.25">
      <c r="C550" s="9"/>
      <c r="D550" s="9"/>
    </row>
    <row r="551" spans="3:4" ht="14.25" customHeight="1" x14ac:dyDescent="0.25">
      <c r="C551" s="9"/>
      <c r="D551" s="9"/>
    </row>
    <row r="552" spans="3:4" ht="14.25" customHeight="1" x14ac:dyDescent="0.25">
      <c r="C552" s="9"/>
      <c r="D552" s="9"/>
    </row>
    <row r="553" spans="3:4" ht="14.25" customHeight="1" x14ac:dyDescent="0.25">
      <c r="C553" s="9"/>
      <c r="D553" s="9"/>
    </row>
    <row r="554" spans="3:4" ht="14.25" customHeight="1" x14ac:dyDescent="0.25">
      <c r="C554" s="9"/>
      <c r="D554" s="9"/>
    </row>
    <row r="555" spans="3:4" ht="14.25" customHeight="1" x14ac:dyDescent="0.25">
      <c r="C555" s="9"/>
      <c r="D555" s="9"/>
    </row>
    <row r="556" spans="3:4" ht="14.25" customHeight="1" x14ac:dyDescent="0.25">
      <c r="C556" s="9"/>
      <c r="D556" s="9"/>
    </row>
    <row r="557" spans="3:4" ht="14.25" customHeight="1" x14ac:dyDescent="0.25">
      <c r="C557" s="9"/>
      <c r="D557" s="9"/>
    </row>
    <row r="558" spans="3:4" ht="14.25" customHeight="1" x14ac:dyDescent="0.25">
      <c r="C558" s="9"/>
      <c r="D558" s="9"/>
    </row>
    <row r="559" spans="3:4" ht="14.25" customHeight="1" x14ac:dyDescent="0.25">
      <c r="C559" s="9"/>
      <c r="D559" s="9"/>
    </row>
    <row r="560" spans="3:4" ht="14.25" customHeight="1" x14ac:dyDescent="0.25">
      <c r="C560" s="9"/>
      <c r="D560" s="9"/>
    </row>
    <row r="561" spans="3:4" ht="14.25" customHeight="1" x14ac:dyDescent="0.25">
      <c r="C561" s="9"/>
      <c r="D561" s="9"/>
    </row>
    <row r="562" spans="3:4" ht="14.25" customHeight="1" x14ac:dyDescent="0.25">
      <c r="C562" s="9"/>
      <c r="D562" s="9"/>
    </row>
    <row r="563" spans="3:4" ht="14.25" customHeight="1" x14ac:dyDescent="0.25">
      <c r="C563" s="9"/>
      <c r="D563" s="9"/>
    </row>
    <row r="564" spans="3:4" ht="14.25" customHeight="1" x14ac:dyDescent="0.25">
      <c r="C564" s="9"/>
      <c r="D564" s="9"/>
    </row>
    <row r="565" spans="3:4" ht="14.25" customHeight="1" x14ac:dyDescent="0.25">
      <c r="C565" s="9"/>
      <c r="D565" s="9"/>
    </row>
    <row r="566" spans="3:4" ht="14.25" customHeight="1" x14ac:dyDescent="0.25">
      <c r="C566" s="9"/>
      <c r="D566" s="9"/>
    </row>
    <row r="567" spans="3:4" ht="14.25" customHeight="1" x14ac:dyDescent="0.25">
      <c r="C567" s="9"/>
      <c r="D567" s="9"/>
    </row>
    <row r="568" spans="3:4" ht="14.25" customHeight="1" x14ac:dyDescent="0.25">
      <c r="C568" s="9"/>
      <c r="D568" s="9"/>
    </row>
    <row r="569" spans="3:4" ht="14.25" customHeight="1" x14ac:dyDescent="0.25">
      <c r="C569" s="9"/>
      <c r="D569" s="9"/>
    </row>
    <row r="570" spans="3:4" ht="14.25" customHeight="1" x14ac:dyDescent="0.25">
      <c r="C570" s="9"/>
      <c r="D570" s="9"/>
    </row>
    <row r="571" spans="3:4" ht="14.25" customHeight="1" x14ac:dyDescent="0.25">
      <c r="C571" s="9"/>
      <c r="D571" s="9"/>
    </row>
    <row r="572" spans="3:4" ht="14.25" customHeight="1" x14ac:dyDescent="0.25">
      <c r="C572" s="9"/>
      <c r="D572" s="9"/>
    </row>
    <row r="573" spans="3:4" ht="14.25" customHeight="1" x14ac:dyDescent="0.25">
      <c r="C573" s="9"/>
      <c r="D573" s="9"/>
    </row>
    <row r="574" spans="3:4" ht="14.25" customHeight="1" x14ac:dyDescent="0.25">
      <c r="C574" s="9"/>
      <c r="D574" s="9"/>
    </row>
    <row r="575" spans="3:4" ht="14.25" customHeight="1" x14ac:dyDescent="0.25">
      <c r="C575" s="9"/>
      <c r="D575" s="9"/>
    </row>
    <row r="576" spans="3:4" ht="14.25" customHeight="1" x14ac:dyDescent="0.25">
      <c r="C576" s="9"/>
      <c r="D576" s="9"/>
    </row>
    <row r="577" spans="3:4" ht="14.25" customHeight="1" x14ac:dyDescent="0.25">
      <c r="C577" s="9"/>
      <c r="D577" s="9"/>
    </row>
    <row r="578" spans="3:4" ht="14.25" customHeight="1" x14ac:dyDescent="0.25">
      <c r="C578" s="9"/>
      <c r="D578" s="9"/>
    </row>
    <row r="579" spans="3:4" ht="14.25" customHeight="1" x14ac:dyDescent="0.25">
      <c r="C579" s="9"/>
      <c r="D579" s="9"/>
    </row>
    <row r="580" spans="3:4" ht="14.25" customHeight="1" x14ac:dyDescent="0.25">
      <c r="C580" s="9"/>
      <c r="D580" s="9"/>
    </row>
    <row r="581" spans="3:4" ht="14.25" customHeight="1" x14ac:dyDescent="0.25">
      <c r="C581" s="9"/>
      <c r="D581" s="9"/>
    </row>
    <row r="582" spans="3:4" ht="14.25" customHeight="1" x14ac:dyDescent="0.25">
      <c r="C582" s="9"/>
      <c r="D582" s="9"/>
    </row>
    <row r="583" spans="3:4" ht="14.25" customHeight="1" x14ac:dyDescent="0.25">
      <c r="C583" s="9"/>
      <c r="D583" s="9"/>
    </row>
    <row r="584" spans="3:4" ht="14.25" customHeight="1" x14ac:dyDescent="0.25">
      <c r="C584" s="9"/>
      <c r="D584" s="9"/>
    </row>
    <row r="585" spans="3:4" ht="14.25" customHeight="1" x14ac:dyDescent="0.25">
      <c r="C585" s="9"/>
      <c r="D585" s="9"/>
    </row>
    <row r="586" spans="3:4" ht="14.25" customHeight="1" x14ac:dyDescent="0.25">
      <c r="C586" s="9"/>
      <c r="D586" s="9"/>
    </row>
    <row r="587" spans="3:4" ht="14.25" customHeight="1" x14ac:dyDescent="0.25">
      <c r="C587" s="9"/>
      <c r="D587" s="9"/>
    </row>
    <row r="588" spans="3:4" ht="14.25" customHeight="1" x14ac:dyDescent="0.25">
      <c r="C588" s="9"/>
      <c r="D588" s="9"/>
    </row>
    <row r="589" spans="3:4" ht="14.25" customHeight="1" x14ac:dyDescent="0.25">
      <c r="C589" s="9"/>
      <c r="D589" s="9"/>
    </row>
    <row r="590" spans="3:4" ht="14.25" customHeight="1" x14ac:dyDescent="0.25">
      <c r="C590" s="9"/>
      <c r="D590" s="9"/>
    </row>
    <row r="591" spans="3:4" ht="14.25" customHeight="1" x14ac:dyDescent="0.25">
      <c r="C591" s="9"/>
      <c r="D591" s="9"/>
    </row>
    <row r="592" spans="3:4" ht="14.25" customHeight="1" x14ac:dyDescent="0.25">
      <c r="C592" s="9"/>
      <c r="D592" s="9"/>
    </row>
    <row r="593" spans="3:4" ht="14.25" customHeight="1" x14ac:dyDescent="0.25">
      <c r="C593" s="9"/>
      <c r="D593" s="9"/>
    </row>
    <row r="594" spans="3:4" ht="14.25" customHeight="1" x14ac:dyDescent="0.25">
      <c r="C594" s="9"/>
      <c r="D594" s="9"/>
    </row>
    <row r="595" spans="3:4" ht="14.25" customHeight="1" x14ac:dyDescent="0.25">
      <c r="C595" s="9"/>
      <c r="D595" s="9"/>
    </row>
    <row r="596" spans="3:4" ht="14.25" customHeight="1" x14ac:dyDescent="0.25">
      <c r="C596" s="9"/>
      <c r="D596" s="9"/>
    </row>
    <row r="597" spans="3:4" ht="14.25" customHeight="1" x14ac:dyDescent="0.25">
      <c r="C597" s="9"/>
      <c r="D597" s="9"/>
    </row>
    <row r="598" spans="3:4" ht="14.25" customHeight="1" x14ac:dyDescent="0.25">
      <c r="C598" s="9"/>
      <c r="D598" s="9"/>
    </row>
    <row r="599" spans="3:4" ht="14.25" customHeight="1" x14ac:dyDescent="0.25">
      <c r="C599" s="9"/>
      <c r="D599" s="9"/>
    </row>
    <row r="600" spans="3:4" ht="14.25" customHeight="1" x14ac:dyDescent="0.25">
      <c r="C600" s="9"/>
      <c r="D600" s="9"/>
    </row>
    <row r="601" spans="3:4" ht="14.25" customHeight="1" x14ac:dyDescent="0.25">
      <c r="C601" s="9"/>
      <c r="D601" s="9"/>
    </row>
    <row r="602" spans="3:4" ht="14.25" customHeight="1" x14ac:dyDescent="0.25">
      <c r="C602" s="9"/>
      <c r="D602" s="9"/>
    </row>
    <row r="603" spans="3:4" ht="14.25" customHeight="1" x14ac:dyDescent="0.25">
      <c r="C603" s="9"/>
      <c r="D603" s="9"/>
    </row>
    <row r="604" spans="3:4" ht="14.25" customHeight="1" x14ac:dyDescent="0.25">
      <c r="C604" s="9"/>
      <c r="D604" s="9"/>
    </row>
    <row r="605" spans="3:4" ht="14.25" customHeight="1" x14ac:dyDescent="0.25">
      <c r="C605" s="9"/>
      <c r="D605" s="9"/>
    </row>
    <row r="606" spans="3:4" ht="14.25" customHeight="1" x14ac:dyDescent="0.25">
      <c r="C606" s="9"/>
      <c r="D606" s="9"/>
    </row>
    <row r="607" spans="3:4" ht="14.25" customHeight="1" x14ac:dyDescent="0.25">
      <c r="C607" s="9"/>
      <c r="D607" s="9"/>
    </row>
    <row r="608" spans="3:4" ht="14.25" customHeight="1" x14ac:dyDescent="0.25">
      <c r="C608" s="9"/>
      <c r="D608" s="9"/>
    </row>
    <row r="609" spans="3:4" ht="14.25" customHeight="1" x14ac:dyDescent="0.25">
      <c r="C609" s="9"/>
      <c r="D609" s="9"/>
    </row>
    <row r="610" spans="3:4" ht="14.25" customHeight="1" x14ac:dyDescent="0.25">
      <c r="C610" s="9"/>
      <c r="D610" s="9"/>
    </row>
    <row r="611" spans="3:4" ht="14.25" customHeight="1" x14ac:dyDescent="0.25">
      <c r="C611" s="9"/>
      <c r="D611" s="9"/>
    </row>
    <row r="612" spans="3:4" ht="14.25" customHeight="1" x14ac:dyDescent="0.25">
      <c r="C612" s="9"/>
      <c r="D612" s="9"/>
    </row>
    <row r="613" spans="3:4" ht="14.25" customHeight="1" x14ac:dyDescent="0.25">
      <c r="C613" s="9"/>
      <c r="D613" s="9"/>
    </row>
    <row r="614" spans="3:4" ht="14.25" customHeight="1" x14ac:dyDescent="0.25">
      <c r="C614" s="9"/>
      <c r="D614" s="9"/>
    </row>
    <row r="615" spans="3:4" ht="14.25" customHeight="1" x14ac:dyDescent="0.25">
      <c r="C615" s="9"/>
      <c r="D615" s="9"/>
    </row>
    <row r="616" spans="3:4" ht="14.25" customHeight="1" x14ac:dyDescent="0.25">
      <c r="C616" s="9"/>
      <c r="D616" s="9"/>
    </row>
    <row r="617" spans="3:4" ht="14.25" customHeight="1" x14ac:dyDescent="0.25">
      <c r="C617" s="9"/>
      <c r="D617" s="9"/>
    </row>
    <row r="618" spans="3:4" ht="14.25" customHeight="1" x14ac:dyDescent="0.25">
      <c r="C618" s="9"/>
      <c r="D618" s="9"/>
    </row>
    <row r="619" spans="3:4" ht="14.25" customHeight="1" x14ac:dyDescent="0.25">
      <c r="C619" s="9"/>
      <c r="D619" s="9"/>
    </row>
    <row r="620" spans="3:4" ht="14.25" customHeight="1" x14ac:dyDescent="0.25">
      <c r="C620" s="9"/>
      <c r="D620" s="9"/>
    </row>
    <row r="621" spans="3:4" ht="14.25" customHeight="1" x14ac:dyDescent="0.25">
      <c r="C621" s="9"/>
      <c r="D621" s="9"/>
    </row>
    <row r="622" spans="3:4" ht="14.25" customHeight="1" x14ac:dyDescent="0.25">
      <c r="C622" s="9"/>
      <c r="D622" s="9"/>
    </row>
    <row r="623" spans="3:4" ht="14.25" customHeight="1" x14ac:dyDescent="0.25">
      <c r="C623" s="9"/>
      <c r="D623" s="9"/>
    </row>
    <row r="624" spans="3:4" ht="14.25" customHeight="1" x14ac:dyDescent="0.25">
      <c r="C624" s="9"/>
      <c r="D624" s="9"/>
    </row>
    <row r="625" spans="3:4" ht="14.25" customHeight="1" x14ac:dyDescent="0.25">
      <c r="C625" s="9"/>
      <c r="D625" s="9"/>
    </row>
    <row r="626" spans="3:4" ht="14.25" customHeight="1" x14ac:dyDescent="0.25">
      <c r="C626" s="9"/>
      <c r="D626" s="9"/>
    </row>
    <row r="627" spans="3:4" ht="14.25" customHeight="1" x14ac:dyDescent="0.25">
      <c r="C627" s="9"/>
      <c r="D627" s="9"/>
    </row>
    <row r="628" spans="3:4" ht="14.25" customHeight="1" x14ac:dyDescent="0.25">
      <c r="C628" s="9"/>
      <c r="D628" s="9"/>
    </row>
    <row r="629" spans="3:4" ht="14.25" customHeight="1" x14ac:dyDescent="0.25">
      <c r="C629" s="9"/>
      <c r="D629" s="9"/>
    </row>
    <row r="630" spans="3:4" ht="14.25" customHeight="1" x14ac:dyDescent="0.25">
      <c r="C630" s="9"/>
      <c r="D630" s="9"/>
    </row>
    <row r="631" spans="3:4" ht="14.25" customHeight="1" x14ac:dyDescent="0.25">
      <c r="C631" s="9"/>
      <c r="D631" s="9"/>
    </row>
    <row r="632" spans="3:4" ht="14.25" customHeight="1" x14ac:dyDescent="0.25">
      <c r="C632" s="9"/>
      <c r="D632" s="9"/>
    </row>
    <row r="633" spans="3:4" ht="14.25" customHeight="1" x14ac:dyDescent="0.25">
      <c r="C633" s="9"/>
      <c r="D633" s="9"/>
    </row>
    <row r="634" spans="3:4" ht="14.25" customHeight="1" x14ac:dyDescent="0.25">
      <c r="C634" s="9"/>
      <c r="D634" s="9"/>
    </row>
    <row r="635" spans="3:4" ht="14.25" customHeight="1" x14ac:dyDescent="0.25">
      <c r="C635" s="9"/>
      <c r="D635" s="9"/>
    </row>
    <row r="636" spans="3:4" ht="14.25" customHeight="1" x14ac:dyDescent="0.25">
      <c r="C636" s="9"/>
      <c r="D636" s="9"/>
    </row>
    <row r="637" spans="3:4" ht="14.25" customHeight="1" x14ac:dyDescent="0.25">
      <c r="C637" s="9"/>
      <c r="D637" s="9"/>
    </row>
    <row r="638" spans="3:4" ht="14.25" customHeight="1" x14ac:dyDescent="0.25">
      <c r="C638" s="9"/>
      <c r="D638" s="9"/>
    </row>
    <row r="639" spans="3:4" ht="14.25" customHeight="1" x14ac:dyDescent="0.25">
      <c r="C639" s="9"/>
      <c r="D639" s="9"/>
    </row>
    <row r="640" spans="3:4" ht="14.25" customHeight="1" x14ac:dyDescent="0.25">
      <c r="C640" s="9"/>
      <c r="D640" s="9"/>
    </row>
    <row r="641" spans="3:4" ht="14.25" customHeight="1" x14ac:dyDescent="0.25">
      <c r="C641" s="9"/>
      <c r="D641" s="9"/>
    </row>
    <row r="642" spans="3:4" ht="14.25" customHeight="1" x14ac:dyDescent="0.25">
      <c r="C642" s="9"/>
      <c r="D642" s="9"/>
    </row>
    <row r="643" spans="3:4" ht="14.25" customHeight="1" x14ac:dyDescent="0.25">
      <c r="C643" s="9"/>
      <c r="D643" s="9"/>
    </row>
    <row r="644" spans="3:4" ht="14.25" customHeight="1" x14ac:dyDescent="0.25">
      <c r="C644" s="9"/>
      <c r="D644" s="9"/>
    </row>
    <row r="645" spans="3:4" ht="14.25" customHeight="1" x14ac:dyDescent="0.25">
      <c r="C645" s="9"/>
      <c r="D645" s="9"/>
    </row>
    <row r="646" spans="3:4" ht="14.25" customHeight="1" x14ac:dyDescent="0.25">
      <c r="C646" s="9"/>
      <c r="D646" s="9"/>
    </row>
    <row r="647" spans="3:4" ht="14.25" customHeight="1" x14ac:dyDescent="0.25">
      <c r="C647" s="9"/>
      <c r="D647" s="9"/>
    </row>
    <row r="648" spans="3:4" ht="14.25" customHeight="1" x14ac:dyDescent="0.25">
      <c r="C648" s="9"/>
      <c r="D648" s="9"/>
    </row>
    <row r="649" spans="3:4" ht="14.25" customHeight="1" x14ac:dyDescent="0.25">
      <c r="C649" s="9"/>
      <c r="D649" s="9"/>
    </row>
    <row r="650" spans="3:4" ht="14.25" customHeight="1" x14ac:dyDescent="0.25">
      <c r="C650" s="9"/>
      <c r="D650" s="9"/>
    </row>
    <row r="651" spans="3:4" ht="14.25" customHeight="1" x14ac:dyDescent="0.25">
      <c r="C651" s="9"/>
      <c r="D651" s="9"/>
    </row>
    <row r="652" spans="3:4" ht="14.25" customHeight="1" x14ac:dyDescent="0.25">
      <c r="C652" s="9"/>
      <c r="D652" s="9"/>
    </row>
    <row r="653" spans="3:4" ht="14.25" customHeight="1" x14ac:dyDescent="0.25">
      <c r="C653" s="9"/>
      <c r="D653" s="9"/>
    </row>
    <row r="654" spans="3:4" ht="14.25" customHeight="1" x14ac:dyDescent="0.25">
      <c r="C654" s="9"/>
      <c r="D654" s="9"/>
    </row>
    <row r="655" spans="3:4" ht="14.25" customHeight="1" x14ac:dyDescent="0.25">
      <c r="C655" s="9"/>
      <c r="D655" s="9"/>
    </row>
    <row r="656" spans="3:4" ht="14.25" customHeight="1" x14ac:dyDescent="0.25">
      <c r="C656" s="9"/>
      <c r="D656" s="9"/>
    </row>
    <row r="657" spans="3:4" ht="14.25" customHeight="1" x14ac:dyDescent="0.25">
      <c r="C657" s="9"/>
      <c r="D657" s="9"/>
    </row>
    <row r="658" spans="3:4" ht="14.25" customHeight="1" x14ac:dyDescent="0.25">
      <c r="C658" s="9"/>
      <c r="D658" s="9"/>
    </row>
    <row r="659" spans="3:4" ht="14.25" customHeight="1" x14ac:dyDescent="0.25">
      <c r="C659" s="9"/>
      <c r="D659" s="9"/>
    </row>
    <row r="660" spans="3:4" ht="14.25" customHeight="1" x14ac:dyDescent="0.25">
      <c r="C660" s="9"/>
      <c r="D660" s="9"/>
    </row>
    <row r="661" spans="3:4" ht="14.25" customHeight="1" x14ac:dyDescent="0.25">
      <c r="C661" s="9"/>
      <c r="D661" s="9"/>
    </row>
    <row r="662" spans="3:4" ht="14.25" customHeight="1" x14ac:dyDescent="0.25">
      <c r="C662" s="9"/>
      <c r="D662" s="9"/>
    </row>
    <row r="663" spans="3:4" ht="14.25" customHeight="1" x14ac:dyDescent="0.25">
      <c r="C663" s="9"/>
      <c r="D663" s="9"/>
    </row>
    <row r="664" spans="3:4" ht="14.25" customHeight="1" x14ac:dyDescent="0.25">
      <c r="C664" s="9"/>
      <c r="D664" s="9"/>
    </row>
    <row r="665" spans="3:4" ht="14.25" customHeight="1" x14ac:dyDescent="0.25">
      <c r="C665" s="9"/>
      <c r="D665" s="9"/>
    </row>
    <row r="666" spans="3:4" ht="14.25" customHeight="1" x14ac:dyDescent="0.25">
      <c r="C666" s="9"/>
      <c r="D666" s="9"/>
    </row>
    <row r="667" spans="3:4" ht="14.25" customHeight="1" x14ac:dyDescent="0.25">
      <c r="C667" s="9"/>
      <c r="D667" s="9"/>
    </row>
    <row r="668" spans="3:4" ht="14.25" customHeight="1" x14ac:dyDescent="0.25">
      <c r="C668" s="9"/>
      <c r="D668" s="9"/>
    </row>
    <row r="669" spans="3:4" ht="14.25" customHeight="1" x14ac:dyDescent="0.25">
      <c r="C669" s="9"/>
      <c r="D669" s="9"/>
    </row>
    <row r="670" spans="3:4" ht="14.25" customHeight="1" x14ac:dyDescent="0.25">
      <c r="C670" s="9"/>
      <c r="D670" s="9"/>
    </row>
    <row r="671" spans="3:4" ht="14.25" customHeight="1" x14ac:dyDescent="0.25">
      <c r="C671" s="9"/>
      <c r="D671" s="9"/>
    </row>
    <row r="672" spans="3:4" ht="14.25" customHeight="1" x14ac:dyDescent="0.25">
      <c r="C672" s="9"/>
      <c r="D672" s="9"/>
    </row>
    <row r="673" spans="3:4" ht="14.25" customHeight="1" x14ac:dyDescent="0.25">
      <c r="C673" s="9"/>
      <c r="D673" s="9"/>
    </row>
    <row r="674" spans="3:4" ht="14.25" customHeight="1" x14ac:dyDescent="0.25">
      <c r="C674" s="9"/>
      <c r="D674" s="9"/>
    </row>
    <row r="675" spans="3:4" ht="14.25" customHeight="1" x14ac:dyDescent="0.25">
      <c r="C675" s="9"/>
      <c r="D675" s="9"/>
    </row>
    <row r="676" spans="3:4" ht="14.25" customHeight="1" x14ac:dyDescent="0.25">
      <c r="C676" s="9"/>
      <c r="D676" s="9"/>
    </row>
    <row r="677" spans="3:4" ht="14.25" customHeight="1" x14ac:dyDescent="0.25">
      <c r="C677" s="9"/>
      <c r="D677" s="9"/>
    </row>
    <row r="678" spans="3:4" ht="14.25" customHeight="1" x14ac:dyDescent="0.25">
      <c r="C678" s="9"/>
      <c r="D678" s="9"/>
    </row>
    <row r="679" spans="3:4" ht="14.25" customHeight="1" x14ac:dyDescent="0.25">
      <c r="C679" s="9"/>
      <c r="D679" s="9"/>
    </row>
    <row r="680" spans="3:4" ht="14.25" customHeight="1" x14ac:dyDescent="0.25">
      <c r="C680" s="9"/>
      <c r="D680" s="9"/>
    </row>
    <row r="681" spans="3:4" ht="14.25" customHeight="1" x14ac:dyDescent="0.25">
      <c r="C681" s="9"/>
      <c r="D681" s="9"/>
    </row>
    <row r="682" spans="3:4" ht="14.25" customHeight="1" x14ac:dyDescent="0.25">
      <c r="C682" s="9"/>
      <c r="D682" s="9"/>
    </row>
    <row r="683" spans="3:4" ht="14.25" customHeight="1" x14ac:dyDescent="0.25">
      <c r="C683" s="9"/>
      <c r="D683" s="9"/>
    </row>
    <row r="684" spans="3:4" ht="14.25" customHeight="1" x14ac:dyDescent="0.25">
      <c r="C684" s="9"/>
      <c r="D684" s="9"/>
    </row>
    <row r="685" spans="3:4" ht="14.25" customHeight="1" x14ac:dyDescent="0.25">
      <c r="C685" s="9"/>
      <c r="D685" s="9"/>
    </row>
    <row r="686" spans="3:4" ht="14.25" customHeight="1" x14ac:dyDescent="0.25">
      <c r="C686" s="9"/>
      <c r="D686" s="9"/>
    </row>
    <row r="687" spans="3:4" ht="14.25" customHeight="1" x14ac:dyDescent="0.25">
      <c r="C687" s="9"/>
      <c r="D687" s="9"/>
    </row>
    <row r="688" spans="3:4" ht="14.25" customHeight="1" x14ac:dyDescent="0.25">
      <c r="C688" s="9"/>
      <c r="D688" s="9"/>
    </row>
    <row r="689" spans="3:4" ht="14.25" customHeight="1" x14ac:dyDescent="0.25">
      <c r="C689" s="9"/>
      <c r="D689" s="9"/>
    </row>
    <row r="690" spans="3:4" ht="14.25" customHeight="1" x14ac:dyDescent="0.25">
      <c r="C690" s="9"/>
      <c r="D690" s="9"/>
    </row>
    <row r="691" spans="3:4" ht="14.25" customHeight="1" x14ac:dyDescent="0.25">
      <c r="C691" s="9"/>
      <c r="D691" s="9"/>
    </row>
    <row r="692" spans="3:4" ht="14.25" customHeight="1" x14ac:dyDescent="0.25">
      <c r="C692" s="9"/>
      <c r="D692" s="9"/>
    </row>
    <row r="693" spans="3:4" ht="14.25" customHeight="1" x14ac:dyDescent="0.25">
      <c r="C693" s="9"/>
      <c r="D693" s="9"/>
    </row>
    <row r="694" spans="3:4" ht="14.25" customHeight="1" x14ac:dyDescent="0.25">
      <c r="C694" s="9"/>
      <c r="D694" s="9"/>
    </row>
    <row r="695" spans="3:4" ht="14.25" customHeight="1" x14ac:dyDescent="0.25">
      <c r="C695" s="9"/>
      <c r="D695" s="9"/>
    </row>
    <row r="696" spans="3:4" ht="14.25" customHeight="1" x14ac:dyDescent="0.25">
      <c r="C696" s="9"/>
      <c r="D696" s="9"/>
    </row>
    <row r="697" spans="3:4" ht="14.25" customHeight="1" x14ac:dyDescent="0.25">
      <c r="C697" s="9"/>
      <c r="D697" s="9"/>
    </row>
    <row r="698" spans="3:4" ht="14.25" customHeight="1" x14ac:dyDescent="0.25">
      <c r="C698" s="9"/>
      <c r="D698" s="9"/>
    </row>
    <row r="699" spans="3:4" ht="14.25" customHeight="1" x14ac:dyDescent="0.25">
      <c r="C699" s="9"/>
      <c r="D699" s="9"/>
    </row>
    <row r="700" spans="3:4" ht="14.25" customHeight="1" x14ac:dyDescent="0.25">
      <c r="C700" s="9"/>
      <c r="D700" s="9"/>
    </row>
    <row r="701" spans="3:4" ht="14.25" customHeight="1" x14ac:dyDescent="0.25">
      <c r="C701" s="9"/>
      <c r="D701" s="9"/>
    </row>
    <row r="702" spans="3:4" ht="14.25" customHeight="1" x14ac:dyDescent="0.25">
      <c r="C702" s="9"/>
      <c r="D702" s="9"/>
    </row>
    <row r="703" spans="3:4" ht="14.25" customHeight="1" x14ac:dyDescent="0.25">
      <c r="C703" s="9"/>
      <c r="D703" s="9"/>
    </row>
    <row r="704" spans="3:4" ht="14.25" customHeight="1" x14ac:dyDescent="0.25">
      <c r="C704" s="9"/>
      <c r="D704" s="9"/>
    </row>
    <row r="705" spans="3:4" ht="14.25" customHeight="1" x14ac:dyDescent="0.25">
      <c r="C705" s="9"/>
      <c r="D705" s="9"/>
    </row>
    <row r="706" spans="3:4" ht="14.25" customHeight="1" x14ac:dyDescent="0.25">
      <c r="C706" s="9"/>
      <c r="D706" s="9"/>
    </row>
    <row r="707" spans="3:4" ht="14.25" customHeight="1" x14ac:dyDescent="0.25">
      <c r="C707" s="9"/>
      <c r="D707" s="9"/>
    </row>
    <row r="708" spans="3:4" ht="14.25" customHeight="1" x14ac:dyDescent="0.25">
      <c r="C708" s="9"/>
      <c r="D708" s="9"/>
    </row>
    <row r="709" spans="3:4" ht="14.25" customHeight="1" x14ac:dyDescent="0.25">
      <c r="C709" s="9"/>
      <c r="D709" s="9"/>
    </row>
    <row r="710" spans="3:4" ht="14.25" customHeight="1" x14ac:dyDescent="0.25">
      <c r="C710" s="9"/>
      <c r="D710" s="9"/>
    </row>
    <row r="711" spans="3:4" ht="14.25" customHeight="1" x14ac:dyDescent="0.25">
      <c r="C711" s="9"/>
      <c r="D711" s="9"/>
    </row>
    <row r="712" spans="3:4" ht="14.25" customHeight="1" x14ac:dyDescent="0.25">
      <c r="C712" s="9"/>
      <c r="D712" s="9"/>
    </row>
    <row r="713" spans="3:4" ht="14.25" customHeight="1" x14ac:dyDescent="0.25">
      <c r="C713" s="9"/>
      <c r="D713" s="9"/>
    </row>
    <row r="714" spans="3:4" ht="14.25" customHeight="1" x14ac:dyDescent="0.25">
      <c r="C714" s="9"/>
      <c r="D714" s="9"/>
    </row>
    <row r="715" spans="3:4" ht="14.25" customHeight="1" x14ac:dyDescent="0.25">
      <c r="C715" s="9"/>
      <c r="D715" s="9"/>
    </row>
    <row r="716" spans="3:4" ht="14.25" customHeight="1" x14ac:dyDescent="0.25">
      <c r="C716" s="9"/>
      <c r="D716" s="9"/>
    </row>
    <row r="717" spans="3:4" ht="14.25" customHeight="1" x14ac:dyDescent="0.25">
      <c r="C717" s="9"/>
      <c r="D717" s="9"/>
    </row>
    <row r="718" spans="3:4" ht="14.25" customHeight="1" x14ac:dyDescent="0.25">
      <c r="C718" s="9"/>
      <c r="D718" s="9"/>
    </row>
    <row r="719" spans="3:4" ht="14.25" customHeight="1" x14ac:dyDescent="0.25">
      <c r="C719" s="9"/>
      <c r="D719" s="9"/>
    </row>
    <row r="720" spans="3:4" ht="14.25" customHeight="1" x14ac:dyDescent="0.25">
      <c r="C720" s="9"/>
      <c r="D720" s="9"/>
    </row>
    <row r="721" spans="3:4" ht="14.25" customHeight="1" x14ac:dyDescent="0.25">
      <c r="C721" s="9"/>
      <c r="D721" s="9"/>
    </row>
    <row r="722" spans="3:4" ht="14.25" customHeight="1" x14ac:dyDescent="0.25">
      <c r="C722" s="9"/>
      <c r="D722" s="9"/>
    </row>
    <row r="723" spans="3:4" ht="14.25" customHeight="1" x14ac:dyDescent="0.25">
      <c r="C723" s="9"/>
      <c r="D723" s="9"/>
    </row>
    <row r="724" spans="3:4" ht="14.25" customHeight="1" x14ac:dyDescent="0.25">
      <c r="C724" s="9"/>
      <c r="D724" s="9"/>
    </row>
    <row r="725" spans="3:4" ht="14.25" customHeight="1" x14ac:dyDescent="0.25">
      <c r="C725" s="9"/>
      <c r="D725" s="9"/>
    </row>
    <row r="726" spans="3:4" ht="14.25" customHeight="1" x14ac:dyDescent="0.25">
      <c r="C726" s="9"/>
      <c r="D726" s="9"/>
    </row>
    <row r="727" spans="3:4" ht="14.25" customHeight="1" x14ac:dyDescent="0.25">
      <c r="C727" s="9"/>
      <c r="D727" s="9"/>
    </row>
    <row r="728" spans="3:4" ht="14.25" customHeight="1" x14ac:dyDescent="0.25">
      <c r="C728" s="9"/>
      <c r="D728" s="9"/>
    </row>
    <row r="729" spans="3:4" ht="14.25" customHeight="1" x14ac:dyDescent="0.25">
      <c r="C729" s="9"/>
      <c r="D729" s="9"/>
    </row>
    <row r="730" spans="3:4" ht="14.25" customHeight="1" x14ac:dyDescent="0.25">
      <c r="C730" s="9"/>
      <c r="D730" s="9"/>
    </row>
    <row r="731" spans="3:4" ht="14.25" customHeight="1" x14ac:dyDescent="0.25">
      <c r="C731" s="9"/>
      <c r="D731" s="9"/>
    </row>
    <row r="732" spans="3:4" ht="14.25" customHeight="1" x14ac:dyDescent="0.25">
      <c r="C732" s="9"/>
      <c r="D732" s="9"/>
    </row>
    <row r="733" spans="3:4" ht="14.25" customHeight="1" x14ac:dyDescent="0.25">
      <c r="C733" s="9"/>
      <c r="D733" s="9"/>
    </row>
    <row r="734" spans="3:4" ht="14.25" customHeight="1" x14ac:dyDescent="0.25">
      <c r="C734" s="9"/>
      <c r="D734" s="9"/>
    </row>
    <row r="735" spans="3:4" ht="14.25" customHeight="1" x14ac:dyDescent="0.25">
      <c r="C735" s="9"/>
      <c r="D735" s="9"/>
    </row>
    <row r="736" spans="3:4" ht="14.25" customHeight="1" x14ac:dyDescent="0.25">
      <c r="C736" s="9"/>
      <c r="D736" s="9"/>
    </row>
    <row r="737" spans="3:4" ht="14.25" customHeight="1" x14ac:dyDescent="0.25">
      <c r="C737" s="9"/>
      <c r="D737" s="9"/>
    </row>
    <row r="738" spans="3:4" ht="14.25" customHeight="1" x14ac:dyDescent="0.25">
      <c r="C738" s="9"/>
      <c r="D738" s="9"/>
    </row>
    <row r="739" spans="3:4" ht="14.25" customHeight="1" x14ac:dyDescent="0.25">
      <c r="C739" s="9"/>
      <c r="D739" s="9"/>
    </row>
    <row r="740" spans="3:4" ht="14.25" customHeight="1" x14ac:dyDescent="0.25">
      <c r="C740" s="9"/>
      <c r="D740" s="9"/>
    </row>
    <row r="741" spans="3:4" ht="14.25" customHeight="1" x14ac:dyDescent="0.25">
      <c r="C741" s="9"/>
      <c r="D741" s="9"/>
    </row>
    <row r="742" spans="3:4" ht="14.25" customHeight="1" x14ac:dyDescent="0.25">
      <c r="C742" s="9"/>
      <c r="D742" s="9"/>
    </row>
    <row r="743" spans="3:4" ht="14.25" customHeight="1" x14ac:dyDescent="0.25">
      <c r="C743" s="9"/>
      <c r="D743" s="9"/>
    </row>
    <row r="744" spans="3:4" ht="14.25" customHeight="1" x14ac:dyDescent="0.25">
      <c r="C744" s="9"/>
      <c r="D744" s="9"/>
    </row>
    <row r="745" spans="3:4" ht="14.25" customHeight="1" x14ac:dyDescent="0.25">
      <c r="C745" s="9"/>
      <c r="D745" s="9"/>
    </row>
    <row r="746" spans="3:4" ht="14.25" customHeight="1" x14ac:dyDescent="0.25">
      <c r="C746" s="9"/>
      <c r="D746" s="9"/>
    </row>
    <row r="747" spans="3:4" ht="14.25" customHeight="1" x14ac:dyDescent="0.25">
      <c r="C747" s="9"/>
      <c r="D747" s="9"/>
    </row>
    <row r="748" spans="3:4" ht="14.25" customHeight="1" x14ac:dyDescent="0.25">
      <c r="C748" s="9"/>
      <c r="D748" s="9"/>
    </row>
    <row r="749" spans="3:4" ht="14.25" customHeight="1" x14ac:dyDescent="0.25">
      <c r="C749" s="9"/>
      <c r="D749" s="9"/>
    </row>
    <row r="750" spans="3:4" ht="14.25" customHeight="1" x14ac:dyDescent="0.25">
      <c r="C750" s="9"/>
      <c r="D750" s="9"/>
    </row>
    <row r="751" spans="3:4" ht="14.25" customHeight="1" x14ac:dyDescent="0.25">
      <c r="C751" s="9"/>
      <c r="D751" s="9"/>
    </row>
    <row r="752" spans="3:4" ht="14.25" customHeight="1" x14ac:dyDescent="0.25">
      <c r="C752" s="9"/>
      <c r="D752" s="9"/>
    </row>
    <row r="753" spans="3:4" ht="14.25" customHeight="1" x14ac:dyDescent="0.25">
      <c r="C753" s="9"/>
      <c r="D753" s="9"/>
    </row>
    <row r="754" spans="3:4" ht="14.25" customHeight="1" x14ac:dyDescent="0.25">
      <c r="C754" s="9"/>
      <c r="D754" s="9"/>
    </row>
    <row r="755" spans="3:4" ht="14.25" customHeight="1" x14ac:dyDescent="0.25">
      <c r="C755" s="9"/>
      <c r="D755" s="9"/>
    </row>
    <row r="756" spans="3:4" ht="14.25" customHeight="1" x14ac:dyDescent="0.25">
      <c r="C756" s="9"/>
      <c r="D756" s="9"/>
    </row>
    <row r="757" spans="3:4" ht="14.25" customHeight="1" x14ac:dyDescent="0.25">
      <c r="C757" s="9"/>
      <c r="D757" s="9"/>
    </row>
    <row r="758" spans="3:4" ht="14.25" customHeight="1" x14ac:dyDescent="0.25">
      <c r="C758" s="9"/>
      <c r="D758" s="9"/>
    </row>
    <row r="759" spans="3:4" ht="14.25" customHeight="1" x14ac:dyDescent="0.25">
      <c r="C759" s="9"/>
      <c r="D759" s="9"/>
    </row>
    <row r="760" spans="3:4" ht="14.25" customHeight="1" x14ac:dyDescent="0.25">
      <c r="C760" s="9"/>
      <c r="D760" s="9"/>
    </row>
    <row r="761" spans="3:4" ht="14.25" customHeight="1" x14ac:dyDescent="0.25">
      <c r="C761" s="9"/>
      <c r="D761" s="9"/>
    </row>
    <row r="762" spans="3:4" ht="14.25" customHeight="1" x14ac:dyDescent="0.25">
      <c r="C762" s="9"/>
      <c r="D762" s="9"/>
    </row>
    <row r="763" spans="3:4" ht="14.25" customHeight="1" x14ac:dyDescent="0.25">
      <c r="C763" s="9"/>
      <c r="D763" s="9"/>
    </row>
    <row r="764" spans="3:4" ht="14.25" customHeight="1" x14ac:dyDescent="0.25">
      <c r="C764" s="9"/>
      <c r="D764" s="9"/>
    </row>
    <row r="765" spans="3:4" ht="14.25" customHeight="1" x14ac:dyDescent="0.25">
      <c r="C765" s="9"/>
      <c r="D765" s="9"/>
    </row>
    <row r="766" spans="3:4" ht="14.25" customHeight="1" x14ac:dyDescent="0.25">
      <c r="C766" s="9"/>
      <c r="D766" s="9"/>
    </row>
    <row r="767" spans="3:4" ht="14.25" customHeight="1" x14ac:dyDescent="0.25">
      <c r="C767" s="9"/>
      <c r="D767" s="9"/>
    </row>
    <row r="768" spans="3:4" ht="14.25" customHeight="1" x14ac:dyDescent="0.25">
      <c r="C768" s="9"/>
      <c r="D768" s="9"/>
    </row>
    <row r="769" spans="3:4" ht="14.25" customHeight="1" x14ac:dyDescent="0.25">
      <c r="C769" s="9"/>
      <c r="D769" s="9"/>
    </row>
    <row r="770" spans="3:4" ht="14.25" customHeight="1" x14ac:dyDescent="0.25">
      <c r="C770" s="9"/>
      <c r="D770" s="9"/>
    </row>
    <row r="771" spans="3:4" ht="14.25" customHeight="1" x14ac:dyDescent="0.25">
      <c r="C771" s="9"/>
      <c r="D771" s="9"/>
    </row>
    <row r="772" spans="3:4" ht="14.25" customHeight="1" x14ac:dyDescent="0.25">
      <c r="C772" s="9"/>
      <c r="D772" s="9"/>
    </row>
    <row r="773" spans="3:4" ht="14.25" customHeight="1" x14ac:dyDescent="0.25">
      <c r="C773" s="9"/>
      <c r="D773" s="9"/>
    </row>
    <row r="774" spans="3:4" ht="14.25" customHeight="1" x14ac:dyDescent="0.25">
      <c r="C774" s="9"/>
      <c r="D774" s="9"/>
    </row>
    <row r="775" spans="3:4" ht="14.25" customHeight="1" x14ac:dyDescent="0.25">
      <c r="C775" s="9"/>
      <c r="D775" s="9"/>
    </row>
    <row r="776" spans="3:4" ht="14.25" customHeight="1" x14ac:dyDescent="0.25">
      <c r="C776" s="9"/>
      <c r="D776" s="9"/>
    </row>
    <row r="777" spans="3:4" ht="14.25" customHeight="1" x14ac:dyDescent="0.25">
      <c r="C777" s="9"/>
      <c r="D777" s="9"/>
    </row>
    <row r="778" spans="3:4" ht="14.25" customHeight="1" x14ac:dyDescent="0.25">
      <c r="C778" s="9"/>
      <c r="D778" s="9"/>
    </row>
    <row r="779" spans="3:4" ht="14.25" customHeight="1" x14ac:dyDescent="0.25">
      <c r="C779" s="9"/>
      <c r="D779" s="9"/>
    </row>
    <row r="780" spans="3:4" ht="14.25" customHeight="1" x14ac:dyDescent="0.25">
      <c r="C780" s="9"/>
      <c r="D780" s="9"/>
    </row>
    <row r="781" spans="3:4" ht="14.25" customHeight="1" x14ac:dyDescent="0.25">
      <c r="C781" s="9"/>
      <c r="D781" s="9"/>
    </row>
    <row r="782" spans="3:4" ht="14.25" customHeight="1" x14ac:dyDescent="0.25">
      <c r="C782" s="9"/>
      <c r="D782" s="9"/>
    </row>
    <row r="783" spans="3:4" ht="14.25" customHeight="1" x14ac:dyDescent="0.25">
      <c r="C783" s="9"/>
      <c r="D783" s="9"/>
    </row>
    <row r="784" spans="3:4" ht="14.25" customHeight="1" x14ac:dyDescent="0.25">
      <c r="C784" s="9"/>
      <c r="D784" s="9"/>
    </row>
    <row r="785" spans="3:4" ht="14.25" customHeight="1" x14ac:dyDescent="0.25">
      <c r="C785" s="9"/>
      <c r="D785" s="9"/>
    </row>
    <row r="786" spans="3:4" ht="14.25" customHeight="1" x14ac:dyDescent="0.25">
      <c r="C786" s="9"/>
      <c r="D786" s="9"/>
    </row>
    <row r="787" spans="3:4" ht="14.25" customHeight="1" x14ac:dyDescent="0.25">
      <c r="C787" s="9"/>
      <c r="D787" s="9"/>
    </row>
    <row r="788" spans="3:4" ht="14.25" customHeight="1" x14ac:dyDescent="0.25">
      <c r="C788" s="9"/>
      <c r="D788" s="9"/>
    </row>
    <row r="789" spans="3:4" ht="14.25" customHeight="1" x14ac:dyDescent="0.25">
      <c r="C789" s="9"/>
      <c r="D789" s="9"/>
    </row>
    <row r="790" spans="3:4" ht="14.25" customHeight="1" x14ac:dyDescent="0.25">
      <c r="C790" s="9"/>
      <c r="D790" s="9"/>
    </row>
    <row r="791" spans="3:4" ht="14.25" customHeight="1" x14ac:dyDescent="0.25">
      <c r="C791" s="9"/>
      <c r="D791" s="9"/>
    </row>
    <row r="792" spans="3:4" ht="14.25" customHeight="1" x14ac:dyDescent="0.25">
      <c r="C792" s="9"/>
      <c r="D792" s="9"/>
    </row>
    <row r="793" spans="3:4" ht="14.25" customHeight="1" x14ac:dyDescent="0.25">
      <c r="C793" s="9"/>
      <c r="D793" s="9"/>
    </row>
    <row r="794" spans="3:4" ht="14.25" customHeight="1" x14ac:dyDescent="0.25">
      <c r="C794" s="9"/>
      <c r="D794" s="9"/>
    </row>
    <row r="795" spans="3:4" ht="14.25" customHeight="1" x14ac:dyDescent="0.25">
      <c r="C795" s="9"/>
      <c r="D795" s="9"/>
    </row>
    <row r="796" spans="3:4" ht="14.25" customHeight="1" x14ac:dyDescent="0.25">
      <c r="C796" s="9"/>
      <c r="D796" s="9"/>
    </row>
    <row r="797" spans="3:4" ht="14.25" customHeight="1" x14ac:dyDescent="0.25">
      <c r="C797" s="9"/>
      <c r="D797" s="9"/>
    </row>
    <row r="798" spans="3:4" ht="14.25" customHeight="1" x14ac:dyDescent="0.25">
      <c r="C798" s="9"/>
      <c r="D798" s="9"/>
    </row>
    <row r="799" spans="3:4" ht="14.25" customHeight="1" x14ac:dyDescent="0.25">
      <c r="C799" s="9"/>
      <c r="D799" s="9"/>
    </row>
    <row r="800" spans="3:4" ht="14.25" customHeight="1" x14ac:dyDescent="0.25">
      <c r="C800" s="9"/>
      <c r="D800" s="9"/>
    </row>
    <row r="801" spans="3:4" ht="14.25" customHeight="1" x14ac:dyDescent="0.25">
      <c r="C801" s="9"/>
      <c r="D801" s="9"/>
    </row>
    <row r="802" spans="3:4" ht="14.25" customHeight="1" x14ac:dyDescent="0.25">
      <c r="C802" s="9"/>
      <c r="D802" s="9"/>
    </row>
    <row r="803" spans="3:4" ht="14.25" customHeight="1" x14ac:dyDescent="0.25">
      <c r="C803" s="9"/>
      <c r="D803" s="9"/>
    </row>
    <row r="804" spans="3:4" ht="14.25" customHeight="1" x14ac:dyDescent="0.25">
      <c r="C804" s="9"/>
      <c r="D804" s="9"/>
    </row>
    <row r="805" spans="3:4" ht="14.25" customHeight="1" x14ac:dyDescent="0.25">
      <c r="C805" s="9"/>
      <c r="D805" s="9"/>
    </row>
    <row r="806" spans="3:4" ht="14.25" customHeight="1" x14ac:dyDescent="0.25">
      <c r="C806" s="9"/>
      <c r="D806" s="9"/>
    </row>
    <row r="807" spans="3:4" ht="14.25" customHeight="1" x14ac:dyDescent="0.25">
      <c r="C807" s="9"/>
      <c r="D807" s="9"/>
    </row>
    <row r="808" spans="3:4" ht="14.25" customHeight="1" x14ac:dyDescent="0.25">
      <c r="C808" s="9"/>
      <c r="D808" s="9"/>
    </row>
    <row r="809" spans="3:4" ht="14.25" customHeight="1" x14ac:dyDescent="0.25">
      <c r="C809" s="9"/>
      <c r="D809" s="9"/>
    </row>
    <row r="810" spans="3:4" ht="14.25" customHeight="1" x14ac:dyDescent="0.25">
      <c r="C810" s="9"/>
      <c r="D810" s="9"/>
    </row>
    <row r="811" spans="3:4" ht="14.25" customHeight="1" x14ac:dyDescent="0.25">
      <c r="C811" s="9"/>
      <c r="D811" s="9"/>
    </row>
    <row r="812" spans="3:4" ht="14.25" customHeight="1" x14ac:dyDescent="0.25">
      <c r="C812" s="9"/>
      <c r="D812" s="9"/>
    </row>
    <row r="813" spans="3:4" ht="14.25" customHeight="1" x14ac:dyDescent="0.25">
      <c r="C813" s="9"/>
      <c r="D813" s="9"/>
    </row>
    <row r="814" spans="3:4" ht="14.25" customHeight="1" x14ac:dyDescent="0.25">
      <c r="C814" s="9"/>
      <c r="D814" s="9"/>
    </row>
    <row r="815" spans="3:4" ht="14.25" customHeight="1" x14ac:dyDescent="0.25">
      <c r="C815" s="9"/>
      <c r="D815" s="9"/>
    </row>
    <row r="816" spans="3:4" ht="14.25" customHeight="1" x14ac:dyDescent="0.25">
      <c r="C816" s="9"/>
      <c r="D816" s="9"/>
    </row>
    <row r="817" spans="3:4" ht="14.25" customHeight="1" x14ac:dyDescent="0.25">
      <c r="C817" s="9"/>
      <c r="D817" s="9"/>
    </row>
    <row r="818" spans="3:4" ht="14.25" customHeight="1" x14ac:dyDescent="0.25">
      <c r="C818" s="9"/>
      <c r="D818" s="9"/>
    </row>
    <row r="819" spans="3:4" ht="14.25" customHeight="1" x14ac:dyDescent="0.25">
      <c r="C819" s="9"/>
      <c r="D819" s="9"/>
    </row>
    <row r="820" spans="3:4" ht="14.25" customHeight="1" x14ac:dyDescent="0.25">
      <c r="C820" s="9"/>
      <c r="D820" s="9"/>
    </row>
    <row r="821" spans="3:4" ht="14.25" customHeight="1" x14ac:dyDescent="0.25">
      <c r="C821" s="9"/>
      <c r="D821" s="9"/>
    </row>
    <row r="822" spans="3:4" ht="14.25" customHeight="1" x14ac:dyDescent="0.25">
      <c r="C822" s="9"/>
      <c r="D822" s="9"/>
    </row>
    <row r="823" spans="3:4" ht="14.25" customHeight="1" x14ac:dyDescent="0.25">
      <c r="C823" s="9"/>
      <c r="D823" s="9"/>
    </row>
    <row r="824" spans="3:4" ht="14.25" customHeight="1" x14ac:dyDescent="0.25">
      <c r="C824" s="9"/>
      <c r="D824" s="9"/>
    </row>
    <row r="825" spans="3:4" ht="14.25" customHeight="1" x14ac:dyDescent="0.25">
      <c r="C825" s="9"/>
      <c r="D825" s="9"/>
    </row>
    <row r="826" spans="3:4" ht="14.25" customHeight="1" x14ac:dyDescent="0.25">
      <c r="C826" s="9"/>
      <c r="D826" s="9"/>
    </row>
    <row r="827" spans="3:4" ht="14.25" customHeight="1" x14ac:dyDescent="0.25">
      <c r="C827" s="9"/>
      <c r="D827" s="9"/>
    </row>
    <row r="828" spans="3:4" ht="14.25" customHeight="1" x14ac:dyDescent="0.25">
      <c r="C828" s="9"/>
      <c r="D828" s="9"/>
    </row>
    <row r="829" spans="3:4" ht="14.25" customHeight="1" x14ac:dyDescent="0.25">
      <c r="C829" s="9"/>
      <c r="D829" s="9"/>
    </row>
    <row r="830" spans="3:4" ht="14.25" customHeight="1" x14ac:dyDescent="0.25">
      <c r="C830" s="9"/>
      <c r="D830" s="9"/>
    </row>
    <row r="831" spans="3:4" ht="14.25" customHeight="1" x14ac:dyDescent="0.25">
      <c r="C831" s="9"/>
      <c r="D831" s="9"/>
    </row>
    <row r="832" spans="3:4" ht="14.25" customHeight="1" x14ac:dyDescent="0.25">
      <c r="C832" s="9"/>
      <c r="D832" s="9"/>
    </row>
    <row r="833" spans="3:4" ht="14.25" customHeight="1" x14ac:dyDescent="0.25">
      <c r="C833" s="9"/>
      <c r="D833" s="9"/>
    </row>
    <row r="834" spans="3:4" ht="14.25" customHeight="1" x14ac:dyDescent="0.25">
      <c r="C834" s="9"/>
      <c r="D834" s="9"/>
    </row>
    <row r="835" spans="3:4" ht="14.25" customHeight="1" x14ac:dyDescent="0.25">
      <c r="C835" s="9"/>
      <c r="D835" s="9"/>
    </row>
    <row r="836" spans="3:4" ht="14.25" customHeight="1" x14ac:dyDescent="0.25">
      <c r="C836" s="9"/>
      <c r="D836" s="9"/>
    </row>
    <row r="837" spans="3:4" ht="14.25" customHeight="1" x14ac:dyDescent="0.25">
      <c r="C837" s="9"/>
      <c r="D837" s="9"/>
    </row>
    <row r="838" spans="3:4" ht="14.25" customHeight="1" x14ac:dyDescent="0.25">
      <c r="C838" s="9"/>
      <c r="D838" s="9"/>
    </row>
    <row r="839" spans="3:4" ht="14.25" customHeight="1" x14ac:dyDescent="0.25">
      <c r="C839" s="9"/>
      <c r="D839" s="9"/>
    </row>
    <row r="840" spans="3:4" ht="14.25" customHeight="1" x14ac:dyDescent="0.25">
      <c r="C840" s="9"/>
      <c r="D840" s="9"/>
    </row>
    <row r="841" spans="3:4" ht="14.25" customHeight="1" x14ac:dyDescent="0.25">
      <c r="C841" s="9"/>
      <c r="D841" s="9"/>
    </row>
    <row r="842" spans="3:4" ht="14.25" customHeight="1" x14ac:dyDescent="0.25">
      <c r="C842" s="9"/>
      <c r="D842" s="9"/>
    </row>
    <row r="843" spans="3:4" ht="14.25" customHeight="1" x14ac:dyDescent="0.25">
      <c r="C843" s="9"/>
      <c r="D843" s="9"/>
    </row>
    <row r="844" spans="3:4" ht="14.25" customHeight="1" x14ac:dyDescent="0.25">
      <c r="C844" s="9"/>
      <c r="D844" s="9"/>
    </row>
    <row r="845" spans="3:4" ht="14.25" customHeight="1" x14ac:dyDescent="0.25">
      <c r="C845" s="9"/>
      <c r="D845" s="9"/>
    </row>
    <row r="846" spans="3:4" ht="14.25" customHeight="1" x14ac:dyDescent="0.25">
      <c r="C846" s="9"/>
      <c r="D846" s="9"/>
    </row>
    <row r="847" spans="3:4" ht="14.25" customHeight="1" x14ac:dyDescent="0.25">
      <c r="C847" s="9"/>
      <c r="D847" s="9"/>
    </row>
    <row r="848" spans="3:4" ht="14.25" customHeight="1" x14ac:dyDescent="0.25">
      <c r="C848" s="9"/>
      <c r="D848" s="9"/>
    </row>
    <row r="849" spans="3:4" ht="14.25" customHeight="1" x14ac:dyDescent="0.25">
      <c r="C849" s="9"/>
      <c r="D849" s="9"/>
    </row>
    <row r="850" spans="3:4" ht="14.25" customHeight="1" x14ac:dyDescent="0.25">
      <c r="C850" s="9"/>
      <c r="D850" s="9"/>
    </row>
    <row r="851" spans="3:4" ht="14.25" customHeight="1" x14ac:dyDescent="0.25">
      <c r="C851" s="9"/>
      <c r="D851" s="9"/>
    </row>
    <row r="852" spans="3:4" ht="14.25" customHeight="1" x14ac:dyDescent="0.25">
      <c r="C852" s="9"/>
      <c r="D852" s="9"/>
    </row>
    <row r="853" spans="3:4" ht="14.25" customHeight="1" x14ac:dyDescent="0.25">
      <c r="C853" s="9"/>
      <c r="D853" s="9"/>
    </row>
    <row r="854" spans="3:4" ht="14.25" customHeight="1" x14ac:dyDescent="0.25">
      <c r="C854" s="9"/>
      <c r="D854" s="9"/>
    </row>
    <row r="855" spans="3:4" ht="14.25" customHeight="1" x14ac:dyDescent="0.25">
      <c r="C855" s="9"/>
      <c r="D855" s="9"/>
    </row>
    <row r="856" spans="3:4" ht="14.25" customHeight="1" x14ac:dyDescent="0.25">
      <c r="C856" s="9"/>
      <c r="D856" s="9"/>
    </row>
    <row r="857" spans="3:4" ht="14.25" customHeight="1" x14ac:dyDescent="0.25">
      <c r="C857" s="9"/>
      <c r="D857" s="9"/>
    </row>
    <row r="858" spans="3:4" ht="14.25" customHeight="1" x14ac:dyDescent="0.25">
      <c r="C858" s="9"/>
      <c r="D858" s="9"/>
    </row>
    <row r="859" spans="3:4" ht="14.25" customHeight="1" x14ac:dyDescent="0.25">
      <c r="C859" s="9"/>
      <c r="D859" s="9"/>
    </row>
    <row r="860" spans="3:4" ht="14.25" customHeight="1" x14ac:dyDescent="0.25">
      <c r="C860" s="9"/>
      <c r="D860" s="9"/>
    </row>
    <row r="861" spans="3:4" ht="14.25" customHeight="1" x14ac:dyDescent="0.25">
      <c r="C861" s="9"/>
      <c r="D861" s="9"/>
    </row>
    <row r="862" spans="3:4" ht="14.25" customHeight="1" x14ac:dyDescent="0.25">
      <c r="C862" s="9"/>
      <c r="D862" s="9"/>
    </row>
    <row r="863" spans="3:4" ht="14.25" customHeight="1" x14ac:dyDescent="0.25">
      <c r="C863" s="9"/>
      <c r="D863" s="9"/>
    </row>
    <row r="864" spans="3:4" ht="14.25" customHeight="1" x14ac:dyDescent="0.25">
      <c r="C864" s="9"/>
      <c r="D864" s="9"/>
    </row>
    <row r="865" spans="3:4" ht="14.25" customHeight="1" x14ac:dyDescent="0.25">
      <c r="C865" s="9"/>
      <c r="D865" s="9"/>
    </row>
    <row r="866" spans="3:4" ht="14.25" customHeight="1" x14ac:dyDescent="0.25">
      <c r="C866" s="9"/>
      <c r="D866" s="9"/>
    </row>
    <row r="867" spans="3:4" ht="14.25" customHeight="1" x14ac:dyDescent="0.25">
      <c r="C867" s="9"/>
      <c r="D867" s="9"/>
    </row>
    <row r="868" spans="3:4" ht="14.25" customHeight="1" x14ac:dyDescent="0.25">
      <c r="C868" s="9"/>
      <c r="D868" s="9"/>
    </row>
    <row r="869" spans="3:4" ht="14.25" customHeight="1" x14ac:dyDescent="0.25">
      <c r="C869" s="9"/>
      <c r="D869" s="9"/>
    </row>
    <row r="870" spans="3:4" ht="14.25" customHeight="1" x14ac:dyDescent="0.25">
      <c r="C870" s="9"/>
      <c r="D870" s="9"/>
    </row>
    <row r="871" spans="3:4" ht="14.25" customHeight="1" x14ac:dyDescent="0.25">
      <c r="C871" s="9"/>
      <c r="D871" s="9"/>
    </row>
    <row r="872" spans="3:4" ht="14.25" customHeight="1" x14ac:dyDescent="0.25">
      <c r="C872" s="9"/>
      <c r="D872" s="9"/>
    </row>
    <row r="873" spans="3:4" ht="14.25" customHeight="1" x14ac:dyDescent="0.25">
      <c r="C873" s="9"/>
      <c r="D873" s="9"/>
    </row>
    <row r="874" spans="3:4" ht="14.25" customHeight="1" x14ac:dyDescent="0.25">
      <c r="C874" s="9"/>
      <c r="D874" s="9"/>
    </row>
    <row r="875" spans="3:4" ht="14.25" customHeight="1" x14ac:dyDescent="0.25">
      <c r="C875" s="9"/>
      <c r="D875" s="9"/>
    </row>
    <row r="876" spans="3:4" ht="14.25" customHeight="1" x14ac:dyDescent="0.25">
      <c r="C876" s="9"/>
      <c r="D876" s="9"/>
    </row>
    <row r="877" spans="3:4" ht="14.25" customHeight="1" x14ac:dyDescent="0.25">
      <c r="C877" s="9"/>
      <c r="D877" s="9"/>
    </row>
    <row r="878" spans="3:4" ht="14.25" customHeight="1" x14ac:dyDescent="0.25">
      <c r="C878" s="9"/>
      <c r="D878" s="9"/>
    </row>
    <row r="879" spans="3:4" ht="14.25" customHeight="1" x14ac:dyDescent="0.25">
      <c r="C879" s="9"/>
      <c r="D879" s="9"/>
    </row>
    <row r="880" spans="3:4" ht="14.25" customHeight="1" x14ac:dyDescent="0.25">
      <c r="C880" s="9"/>
      <c r="D880" s="9"/>
    </row>
    <row r="881" spans="3:4" ht="14.25" customHeight="1" x14ac:dyDescent="0.25">
      <c r="C881" s="9"/>
      <c r="D881" s="9"/>
    </row>
    <row r="882" spans="3:4" ht="14.25" customHeight="1" x14ac:dyDescent="0.25">
      <c r="C882" s="9"/>
      <c r="D882" s="9"/>
    </row>
    <row r="883" spans="3:4" ht="14.25" customHeight="1" x14ac:dyDescent="0.25">
      <c r="C883" s="9"/>
      <c r="D883" s="9"/>
    </row>
    <row r="884" spans="3:4" ht="14.25" customHeight="1" x14ac:dyDescent="0.25">
      <c r="C884" s="9"/>
      <c r="D884" s="9"/>
    </row>
    <row r="885" spans="3:4" ht="14.25" customHeight="1" x14ac:dyDescent="0.25">
      <c r="C885" s="9"/>
      <c r="D885" s="9"/>
    </row>
    <row r="886" spans="3:4" ht="14.25" customHeight="1" x14ac:dyDescent="0.25">
      <c r="C886" s="9"/>
      <c r="D886" s="9"/>
    </row>
    <row r="887" spans="3:4" ht="14.25" customHeight="1" x14ac:dyDescent="0.25">
      <c r="C887" s="9"/>
      <c r="D887" s="9"/>
    </row>
    <row r="888" spans="3:4" ht="14.25" customHeight="1" x14ac:dyDescent="0.25">
      <c r="C888" s="9"/>
      <c r="D888" s="9"/>
    </row>
    <row r="889" spans="3:4" ht="14.25" customHeight="1" x14ac:dyDescent="0.25">
      <c r="C889" s="9"/>
      <c r="D889" s="9"/>
    </row>
    <row r="890" spans="3:4" ht="14.25" customHeight="1" x14ac:dyDescent="0.25">
      <c r="C890" s="9"/>
      <c r="D890" s="9"/>
    </row>
    <row r="891" spans="3:4" ht="14.25" customHeight="1" x14ac:dyDescent="0.25">
      <c r="C891" s="9"/>
      <c r="D891" s="9"/>
    </row>
    <row r="892" spans="3:4" ht="14.25" customHeight="1" x14ac:dyDescent="0.25">
      <c r="C892" s="9"/>
      <c r="D892" s="9"/>
    </row>
    <row r="893" spans="3:4" ht="14.25" customHeight="1" x14ac:dyDescent="0.25">
      <c r="C893" s="9"/>
      <c r="D893" s="9"/>
    </row>
    <row r="894" spans="3:4" ht="14.25" customHeight="1" x14ac:dyDescent="0.25">
      <c r="C894" s="9"/>
      <c r="D894" s="9"/>
    </row>
    <row r="895" spans="3:4" ht="14.25" customHeight="1" x14ac:dyDescent="0.25">
      <c r="C895" s="9"/>
      <c r="D895" s="9"/>
    </row>
    <row r="896" spans="3:4" ht="14.25" customHeight="1" x14ac:dyDescent="0.25">
      <c r="C896" s="9"/>
      <c r="D896" s="9"/>
    </row>
    <row r="897" spans="3:4" ht="14.25" customHeight="1" x14ac:dyDescent="0.25">
      <c r="C897" s="9"/>
      <c r="D897" s="9"/>
    </row>
    <row r="898" spans="3:4" ht="14.25" customHeight="1" x14ac:dyDescent="0.25">
      <c r="C898" s="9"/>
      <c r="D898" s="9"/>
    </row>
    <row r="899" spans="3:4" ht="14.25" customHeight="1" x14ac:dyDescent="0.25">
      <c r="C899" s="9"/>
      <c r="D899" s="9"/>
    </row>
    <row r="900" spans="3:4" ht="14.25" customHeight="1" x14ac:dyDescent="0.25">
      <c r="C900" s="9"/>
      <c r="D900" s="9"/>
    </row>
    <row r="901" spans="3:4" ht="14.25" customHeight="1" x14ac:dyDescent="0.25">
      <c r="C901" s="9"/>
      <c r="D901" s="9"/>
    </row>
    <row r="902" spans="3:4" ht="14.25" customHeight="1" x14ac:dyDescent="0.25">
      <c r="C902" s="9"/>
      <c r="D902" s="9"/>
    </row>
    <row r="903" spans="3:4" ht="14.25" customHeight="1" x14ac:dyDescent="0.25">
      <c r="C903" s="9"/>
      <c r="D903" s="9"/>
    </row>
    <row r="904" spans="3:4" ht="14.25" customHeight="1" x14ac:dyDescent="0.25">
      <c r="C904" s="9"/>
      <c r="D904" s="9"/>
    </row>
    <row r="905" spans="3:4" ht="14.25" customHeight="1" x14ac:dyDescent="0.25">
      <c r="C905" s="9"/>
      <c r="D905" s="9"/>
    </row>
    <row r="906" spans="3:4" ht="14.25" customHeight="1" x14ac:dyDescent="0.25">
      <c r="C906" s="9"/>
      <c r="D906" s="9"/>
    </row>
    <row r="907" spans="3:4" ht="14.25" customHeight="1" x14ac:dyDescent="0.25">
      <c r="C907" s="9"/>
      <c r="D907" s="9"/>
    </row>
    <row r="908" spans="3:4" ht="14.25" customHeight="1" x14ac:dyDescent="0.25">
      <c r="C908" s="9"/>
      <c r="D908" s="9"/>
    </row>
    <row r="909" spans="3:4" ht="14.25" customHeight="1" x14ac:dyDescent="0.25">
      <c r="C909" s="9"/>
      <c r="D909" s="9"/>
    </row>
    <row r="910" spans="3:4" ht="14.25" customHeight="1" x14ac:dyDescent="0.25">
      <c r="C910" s="9"/>
      <c r="D910" s="9"/>
    </row>
    <row r="911" spans="3:4" ht="14.25" customHeight="1" x14ac:dyDescent="0.25">
      <c r="C911" s="9"/>
      <c r="D911" s="9"/>
    </row>
    <row r="912" spans="3:4" ht="14.25" customHeight="1" x14ac:dyDescent="0.25">
      <c r="C912" s="9"/>
      <c r="D912" s="9"/>
    </row>
    <row r="913" spans="3:4" ht="14.25" customHeight="1" x14ac:dyDescent="0.25">
      <c r="C913" s="9"/>
      <c r="D913" s="9"/>
    </row>
    <row r="914" spans="3:4" ht="14.25" customHeight="1" x14ac:dyDescent="0.25">
      <c r="C914" s="9"/>
      <c r="D914" s="9"/>
    </row>
    <row r="915" spans="3:4" ht="14.25" customHeight="1" x14ac:dyDescent="0.25">
      <c r="C915" s="9"/>
      <c r="D915" s="9"/>
    </row>
    <row r="916" spans="3:4" ht="14.25" customHeight="1" x14ac:dyDescent="0.25">
      <c r="C916" s="9"/>
      <c r="D916" s="9"/>
    </row>
    <row r="917" spans="3:4" ht="14.25" customHeight="1" x14ac:dyDescent="0.25">
      <c r="C917" s="9"/>
      <c r="D917" s="9"/>
    </row>
    <row r="918" spans="3:4" ht="14.25" customHeight="1" x14ac:dyDescent="0.25">
      <c r="C918" s="9"/>
      <c r="D918" s="9"/>
    </row>
    <row r="919" spans="3:4" ht="14.25" customHeight="1" x14ac:dyDescent="0.25">
      <c r="C919" s="9"/>
      <c r="D919" s="9"/>
    </row>
    <row r="920" spans="3:4" ht="14.25" customHeight="1" x14ac:dyDescent="0.25">
      <c r="C920" s="9"/>
      <c r="D920" s="9"/>
    </row>
    <row r="921" spans="3:4" ht="14.25" customHeight="1" x14ac:dyDescent="0.25">
      <c r="C921" s="9"/>
      <c r="D921" s="9"/>
    </row>
    <row r="922" spans="3:4" ht="14.25" customHeight="1" x14ac:dyDescent="0.25">
      <c r="C922" s="9"/>
      <c r="D922" s="9"/>
    </row>
    <row r="923" spans="3:4" ht="14.25" customHeight="1" x14ac:dyDescent="0.25">
      <c r="C923" s="9"/>
      <c r="D923" s="9"/>
    </row>
    <row r="924" spans="3:4" ht="14.25" customHeight="1" x14ac:dyDescent="0.25">
      <c r="C924" s="9"/>
      <c r="D924" s="9"/>
    </row>
    <row r="925" spans="3:4" ht="14.25" customHeight="1" x14ac:dyDescent="0.25">
      <c r="C925" s="9"/>
      <c r="D925" s="9"/>
    </row>
    <row r="926" spans="3:4" ht="14.25" customHeight="1" x14ac:dyDescent="0.25">
      <c r="C926" s="9"/>
      <c r="D926" s="9"/>
    </row>
    <row r="927" spans="3:4" ht="14.25" customHeight="1" x14ac:dyDescent="0.25">
      <c r="C927" s="9"/>
      <c r="D927" s="9"/>
    </row>
    <row r="928" spans="3:4" ht="14.25" customHeight="1" x14ac:dyDescent="0.25">
      <c r="C928" s="9"/>
      <c r="D928" s="9"/>
    </row>
    <row r="929" spans="3:4" ht="14.25" customHeight="1" x14ac:dyDescent="0.25">
      <c r="C929" s="9"/>
      <c r="D929" s="9"/>
    </row>
    <row r="930" spans="3:4" ht="14.25" customHeight="1" x14ac:dyDescent="0.25">
      <c r="C930" s="9"/>
      <c r="D930" s="9"/>
    </row>
    <row r="931" spans="3:4" ht="14.25" customHeight="1" x14ac:dyDescent="0.25">
      <c r="C931" s="9"/>
      <c r="D931" s="9"/>
    </row>
    <row r="932" spans="3:4" ht="14.25" customHeight="1" x14ac:dyDescent="0.25">
      <c r="C932" s="9"/>
      <c r="D932" s="9"/>
    </row>
    <row r="933" spans="3:4" ht="14.25" customHeight="1" x14ac:dyDescent="0.25">
      <c r="C933" s="9"/>
      <c r="D933" s="9"/>
    </row>
    <row r="934" spans="3:4" ht="14.25" customHeight="1" x14ac:dyDescent="0.25">
      <c r="C934" s="9"/>
      <c r="D934" s="9"/>
    </row>
    <row r="935" spans="3:4" ht="14.25" customHeight="1" x14ac:dyDescent="0.25">
      <c r="C935" s="9"/>
      <c r="D935" s="9"/>
    </row>
    <row r="936" spans="3:4" ht="14.25" customHeight="1" x14ac:dyDescent="0.25">
      <c r="C936" s="9"/>
      <c r="D936" s="9"/>
    </row>
    <row r="937" spans="3:4" ht="14.25" customHeight="1" x14ac:dyDescent="0.25">
      <c r="C937" s="9"/>
      <c r="D937" s="9"/>
    </row>
    <row r="938" spans="3:4" ht="14.25" customHeight="1" x14ac:dyDescent="0.25">
      <c r="C938" s="9"/>
      <c r="D938" s="9"/>
    </row>
    <row r="939" spans="3:4" ht="14.25" customHeight="1" x14ac:dyDescent="0.25">
      <c r="C939" s="9"/>
      <c r="D939" s="9"/>
    </row>
    <row r="940" spans="3:4" ht="14.25" customHeight="1" x14ac:dyDescent="0.25">
      <c r="C940" s="9"/>
      <c r="D940" s="9"/>
    </row>
    <row r="941" spans="3:4" ht="14.25" customHeight="1" x14ac:dyDescent="0.25">
      <c r="C941" s="9"/>
      <c r="D941" s="9"/>
    </row>
    <row r="942" spans="3:4" ht="14.25" customHeight="1" x14ac:dyDescent="0.25">
      <c r="C942" s="9"/>
      <c r="D942" s="9"/>
    </row>
    <row r="943" spans="3:4" ht="14.25" customHeight="1" x14ac:dyDescent="0.25">
      <c r="C943" s="9"/>
      <c r="D943" s="9"/>
    </row>
    <row r="944" spans="3:4" ht="14.25" customHeight="1" x14ac:dyDescent="0.25">
      <c r="C944" s="9"/>
      <c r="D944" s="9"/>
    </row>
    <row r="945" spans="3:4" ht="14.25" customHeight="1" x14ac:dyDescent="0.25">
      <c r="C945" s="9"/>
      <c r="D945" s="9"/>
    </row>
    <row r="946" spans="3:4" ht="14.25" customHeight="1" x14ac:dyDescent="0.25">
      <c r="C946" s="9"/>
      <c r="D946" s="9"/>
    </row>
    <row r="947" spans="3:4" ht="14.25" customHeight="1" x14ac:dyDescent="0.25">
      <c r="C947" s="9"/>
      <c r="D947" s="9"/>
    </row>
    <row r="948" spans="3:4" ht="14.25" customHeight="1" x14ac:dyDescent="0.25">
      <c r="C948" s="9"/>
      <c r="D948" s="9"/>
    </row>
    <row r="949" spans="3:4" ht="14.25" customHeight="1" x14ac:dyDescent="0.25">
      <c r="C949" s="9"/>
      <c r="D949" s="9"/>
    </row>
    <row r="950" spans="3:4" ht="14.25" customHeight="1" x14ac:dyDescent="0.25">
      <c r="C950" s="9"/>
      <c r="D950" s="9"/>
    </row>
    <row r="951" spans="3:4" ht="14.25" customHeight="1" x14ac:dyDescent="0.25">
      <c r="C951" s="9"/>
      <c r="D951" s="9"/>
    </row>
    <row r="952" spans="3:4" ht="14.25" customHeight="1" x14ac:dyDescent="0.25">
      <c r="C952" s="9"/>
      <c r="D952" s="9"/>
    </row>
    <row r="953" spans="3:4" ht="14.25" customHeight="1" x14ac:dyDescent="0.25">
      <c r="C953" s="9"/>
      <c r="D953" s="9"/>
    </row>
    <row r="954" spans="3:4" ht="14.25" customHeight="1" x14ac:dyDescent="0.25">
      <c r="C954" s="9"/>
      <c r="D954" s="9"/>
    </row>
    <row r="955" spans="3:4" ht="14.25" customHeight="1" x14ac:dyDescent="0.25">
      <c r="C955" s="9"/>
      <c r="D955" s="9"/>
    </row>
    <row r="956" spans="3:4" ht="14.25" customHeight="1" x14ac:dyDescent="0.25">
      <c r="C956" s="9"/>
      <c r="D956" s="9"/>
    </row>
    <row r="957" spans="3:4" ht="14.25" customHeight="1" x14ac:dyDescent="0.25">
      <c r="C957" s="9"/>
      <c r="D957" s="9"/>
    </row>
    <row r="958" spans="3:4" ht="14.25" customHeight="1" x14ac:dyDescent="0.25">
      <c r="C958" s="9"/>
      <c r="D958" s="9"/>
    </row>
    <row r="959" spans="3:4" ht="14.25" customHeight="1" x14ac:dyDescent="0.25">
      <c r="C959" s="9"/>
      <c r="D959" s="9"/>
    </row>
    <row r="960" spans="3:4" ht="14.25" customHeight="1" x14ac:dyDescent="0.25">
      <c r="C960" s="9"/>
      <c r="D960" s="9"/>
    </row>
    <row r="961" spans="3:4" ht="14.25" customHeight="1" x14ac:dyDescent="0.25">
      <c r="C961" s="9"/>
      <c r="D961" s="9"/>
    </row>
    <row r="962" spans="3:4" ht="14.25" customHeight="1" x14ac:dyDescent="0.25">
      <c r="C962" s="9"/>
      <c r="D962" s="9"/>
    </row>
    <row r="963" spans="3:4" ht="14.25" customHeight="1" x14ac:dyDescent="0.25">
      <c r="C963" s="9"/>
      <c r="D963" s="9"/>
    </row>
    <row r="964" spans="3:4" ht="14.25" customHeight="1" x14ac:dyDescent="0.25">
      <c r="C964" s="9"/>
      <c r="D964" s="9"/>
    </row>
    <row r="965" spans="3:4" ht="14.25" customHeight="1" x14ac:dyDescent="0.25">
      <c r="C965" s="9"/>
      <c r="D965" s="9"/>
    </row>
    <row r="966" spans="3:4" ht="14.25" customHeight="1" x14ac:dyDescent="0.25">
      <c r="C966" s="9"/>
      <c r="D966" s="9"/>
    </row>
    <row r="967" spans="3:4" ht="14.25" customHeight="1" x14ac:dyDescent="0.25">
      <c r="C967" s="9"/>
      <c r="D967" s="9"/>
    </row>
    <row r="968" spans="3:4" ht="14.25" customHeight="1" x14ac:dyDescent="0.25">
      <c r="C968" s="9"/>
      <c r="D968" s="9"/>
    </row>
    <row r="969" spans="3:4" ht="14.25" customHeight="1" x14ac:dyDescent="0.25">
      <c r="C969" s="9"/>
      <c r="D969" s="9"/>
    </row>
    <row r="970" spans="3:4" ht="14.25" customHeight="1" x14ac:dyDescent="0.25">
      <c r="C970" s="9"/>
      <c r="D970" s="9"/>
    </row>
    <row r="971" spans="3:4" ht="14.25" customHeight="1" x14ac:dyDescent="0.25">
      <c r="C971" s="9"/>
      <c r="D971" s="9"/>
    </row>
    <row r="972" spans="3:4" ht="14.25" customHeight="1" x14ac:dyDescent="0.25">
      <c r="C972" s="9"/>
      <c r="D972" s="9"/>
    </row>
    <row r="973" spans="3:4" ht="14.25" customHeight="1" x14ac:dyDescent="0.25">
      <c r="C973" s="9"/>
      <c r="D973" s="9"/>
    </row>
    <row r="974" spans="3:4" ht="14.25" customHeight="1" x14ac:dyDescent="0.25">
      <c r="C974" s="9"/>
      <c r="D974" s="9"/>
    </row>
    <row r="975" spans="3:4" ht="14.25" customHeight="1" x14ac:dyDescent="0.25">
      <c r="C975" s="9"/>
      <c r="D975" s="9"/>
    </row>
    <row r="976" spans="3:4" ht="14.25" customHeight="1" x14ac:dyDescent="0.25">
      <c r="C976" s="9"/>
      <c r="D976" s="9"/>
    </row>
    <row r="977" spans="3:4" ht="14.25" customHeight="1" x14ac:dyDescent="0.25">
      <c r="C977" s="9"/>
      <c r="D977" s="9"/>
    </row>
    <row r="978" spans="3:4" ht="14.25" customHeight="1" x14ac:dyDescent="0.25">
      <c r="C978" s="9"/>
      <c r="D978" s="9"/>
    </row>
    <row r="979" spans="3:4" ht="14.25" customHeight="1" x14ac:dyDescent="0.25">
      <c r="C979" s="9"/>
      <c r="D979" s="9"/>
    </row>
    <row r="980" spans="3:4" ht="14.25" customHeight="1" x14ac:dyDescent="0.25">
      <c r="C980" s="9"/>
      <c r="D980" s="9"/>
    </row>
    <row r="981" spans="3:4" ht="14.25" customHeight="1" x14ac:dyDescent="0.25">
      <c r="C981" s="9"/>
      <c r="D981" s="9"/>
    </row>
    <row r="982" spans="3:4" ht="14.25" customHeight="1" x14ac:dyDescent="0.25">
      <c r="C982" s="9"/>
      <c r="D982" s="9"/>
    </row>
    <row r="983" spans="3:4" ht="14.25" customHeight="1" x14ac:dyDescent="0.25">
      <c r="C983" s="9"/>
      <c r="D983" s="9"/>
    </row>
    <row r="984" spans="3:4" ht="14.25" customHeight="1" x14ac:dyDescent="0.25">
      <c r="C984" s="9"/>
      <c r="D984" s="9"/>
    </row>
    <row r="985" spans="3:4" ht="14.25" customHeight="1" x14ac:dyDescent="0.25">
      <c r="C985" s="9"/>
      <c r="D985" s="9"/>
    </row>
    <row r="986" spans="3:4" ht="14.25" customHeight="1" x14ac:dyDescent="0.25">
      <c r="C986" s="9"/>
      <c r="D986" s="9"/>
    </row>
    <row r="987" spans="3:4" ht="14.25" customHeight="1" x14ac:dyDescent="0.25">
      <c r="C987" s="9"/>
      <c r="D987" s="9"/>
    </row>
    <row r="988" spans="3:4" ht="14.25" customHeight="1" x14ac:dyDescent="0.25">
      <c r="C988" s="9"/>
      <c r="D988" s="9"/>
    </row>
    <row r="989" spans="3:4" ht="14.25" customHeight="1" x14ac:dyDescent="0.25">
      <c r="C989" s="9"/>
      <c r="D989" s="9"/>
    </row>
  </sheetData>
  <mergeCells count="4">
    <mergeCell ref="A1:F1"/>
    <mergeCell ref="A2:F2"/>
    <mergeCell ref="A3:F3"/>
    <mergeCell ref="A4:E4"/>
  </mergeCells>
  <printOptions horizontalCentered="1"/>
  <pageMargins left="0.19685039370078741" right="0.19685039370078741" top="0.51181102362204722" bottom="0.55118110236220474" header="0" footer="0"/>
  <pageSetup paperSize="9" scale="9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BA817-E847-43FB-BE66-729A370E7079}">
  <dimension ref="A1:G41"/>
  <sheetViews>
    <sheetView topLeftCell="A11" workbookViewId="0">
      <selection activeCell="A4" sqref="A4:G43"/>
    </sheetView>
  </sheetViews>
  <sheetFormatPr defaultRowHeight="15" x14ac:dyDescent="0.25"/>
  <cols>
    <col min="1" max="1" width="13" customWidth="1"/>
    <col min="2" max="2" width="43.140625" customWidth="1"/>
    <col min="5" max="5" width="19.140625" customWidth="1"/>
    <col min="6" max="6" width="15.5703125" customWidth="1"/>
    <col min="7" max="7" width="17.5703125" customWidth="1"/>
  </cols>
  <sheetData>
    <row r="1" spans="1:7" x14ac:dyDescent="0.25">
      <c r="A1" s="232" t="s">
        <v>73</v>
      </c>
      <c r="B1" s="232"/>
      <c r="C1" s="232"/>
      <c r="D1" s="232"/>
      <c r="E1" s="232"/>
      <c r="F1" s="232"/>
      <c r="G1" s="232"/>
    </row>
    <row r="2" spans="1:7" x14ac:dyDescent="0.25">
      <c r="A2" s="233" t="s">
        <v>74</v>
      </c>
      <c r="B2" s="233"/>
      <c r="C2" s="233"/>
      <c r="D2" s="233"/>
      <c r="E2" s="233"/>
      <c r="F2" s="233"/>
      <c r="G2" s="233"/>
    </row>
    <row r="4" spans="1:7" s="5" customFormat="1" ht="25.5" customHeight="1" x14ac:dyDescent="0.25">
      <c r="A4" s="8" t="s">
        <v>7</v>
      </c>
      <c r="B4" s="8" t="s">
        <v>8</v>
      </c>
      <c r="C4" s="8" t="s">
        <v>9</v>
      </c>
      <c r="D4" s="8" t="s">
        <v>10</v>
      </c>
      <c r="E4" s="8" t="s">
        <v>11</v>
      </c>
      <c r="F4" s="8" t="s">
        <v>12</v>
      </c>
      <c r="G4" s="8" t="s">
        <v>13</v>
      </c>
    </row>
    <row r="5" spans="1:7" x14ac:dyDescent="0.25">
      <c r="A5" s="1" t="s">
        <v>14</v>
      </c>
      <c r="B5" s="1" t="s">
        <v>34</v>
      </c>
      <c r="C5" s="6">
        <v>25</v>
      </c>
      <c r="D5" s="6" t="s">
        <v>0</v>
      </c>
      <c r="E5" s="3">
        <v>16500</v>
      </c>
      <c r="F5" s="3">
        <v>412500</v>
      </c>
      <c r="G5" s="2" t="s">
        <v>6</v>
      </c>
    </row>
    <row r="6" spans="1:7" x14ac:dyDescent="0.25">
      <c r="A6" s="1" t="s">
        <v>15</v>
      </c>
      <c r="B6" s="1" t="s">
        <v>35</v>
      </c>
      <c r="C6" s="6">
        <v>3</v>
      </c>
      <c r="D6" s="6" t="s">
        <v>1</v>
      </c>
      <c r="E6" s="3">
        <v>60000</v>
      </c>
      <c r="F6" s="3">
        <v>180000</v>
      </c>
      <c r="G6" s="2" t="s">
        <v>6</v>
      </c>
    </row>
    <row r="7" spans="1:7" x14ac:dyDescent="0.25">
      <c r="A7" s="1" t="s">
        <v>16</v>
      </c>
      <c r="B7" s="1" t="s">
        <v>36</v>
      </c>
      <c r="C7" s="6">
        <v>7</v>
      </c>
      <c r="D7" s="6" t="s">
        <v>2</v>
      </c>
      <c r="E7" s="3">
        <v>16000</v>
      </c>
      <c r="F7" s="3">
        <v>112000</v>
      </c>
      <c r="G7" s="2" t="s">
        <v>6</v>
      </c>
    </row>
    <row r="8" spans="1:7" x14ac:dyDescent="0.25">
      <c r="A8" s="1" t="s">
        <v>17</v>
      </c>
      <c r="B8" s="1" t="s">
        <v>37</v>
      </c>
      <c r="C8" s="6">
        <v>1</v>
      </c>
      <c r="D8" s="6" t="s">
        <v>3</v>
      </c>
      <c r="E8" s="3">
        <v>2100000</v>
      </c>
      <c r="F8" s="3">
        <v>2100000</v>
      </c>
      <c r="G8" s="2" t="s">
        <v>6</v>
      </c>
    </row>
    <row r="9" spans="1:7" x14ac:dyDescent="0.25">
      <c r="A9" s="1" t="s">
        <v>18</v>
      </c>
      <c r="B9" s="1" t="s">
        <v>38</v>
      </c>
      <c r="C9" s="6">
        <v>2</v>
      </c>
      <c r="D9" s="6" t="s">
        <v>5</v>
      </c>
      <c r="E9" s="3">
        <v>120000</v>
      </c>
      <c r="F9" s="3">
        <v>240000</v>
      </c>
      <c r="G9" s="2" t="s">
        <v>6</v>
      </c>
    </row>
    <row r="10" spans="1:7" x14ac:dyDescent="0.25">
      <c r="A10" s="1" t="s">
        <v>19</v>
      </c>
      <c r="B10" s="1" t="s">
        <v>39</v>
      </c>
      <c r="C10" s="6">
        <v>1</v>
      </c>
      <c r="D10" s="6" t="s">
        <v>5</v>
      </c>
      <c r="E10" s="3">
        <v>120000</v>
      </c>
      <c r="F10" s="3">
        <v>120000</v>
      </c>
      <c r="G10" s="2" t="s">
        <v>6</v>
      </c>
    </row>
    <row r="11" spans="1:7" x14ac:dyDescent="0.25">
      <c r="A11" s="1" t="s">
        <v>20</v>
      </c>
      <c r="B11" s="1" t="s">
        <v>40</v>
      </c>
      <c r="C11" s="6">
        <v>140</v>
      </c>
      <c r="D11" s="6" t="s">
        <v>0</v>
      </c>
      <c r="E11" s="3">
        <v>2300</v>
      </c>
      <c r="F11" s="3">
        <v>322000</v>
      </c>
      <c r="G11" s="2" t="s">
        <v>6</v>
      </c>
    </row>
    <row r="12" spans="1:7" x14ac:dyDescent="0.25">
      <c r="A12" s="1" t="s">
        <v>20</v>
      </c>
      <c r="B12" s="1" t="s">
        <v>41</v>
      </c>
      <c r="C12" s="6">
        <v>230</v>
      </c>
      <c r="D12" s="6" t="s">
        <v>0</v>
      </c>
      <c r="E12" s="3">
        <v>2250</v>
      </c>
      <c r="F12" s="3">
        <v>517500</v>
      </c>
      <c r="G12" s="2" t="s">
        <v>6</v>
      </c>
    </row>
    <row r="13" spans="1:7" ht="30" x14ac:dyDescent="0.25">
      <c r="A13" s="1" t="s">
        <v>21</v>
      </c>
      <c r="B13" s="1" t="s">
        <v>42</v>
      </c>
      <c r="C13" s="6">
        <v>1</v>
      </c>
      <c r="D13" s="6" t="s">
        <v>3</v>
      </c>
      <c r="E13" s="3">
        <v>2100000</v>
      </c>
      <c r="F13" s="3">
        <v>2100000</v>
      </c>
      <c r="G13" s="2" t="s">
        <v>6</v>
      </c>
    </row>
    <row r="14" spans="1:7" x14ac:dyDescent="0.25">
      <c r="A14" s="1" t="s">
        <v>22</v>
      </c>
      <c r="B14" s="1" t="s">
        <v>43</v>
      </c>
      <c r="C14" s="6">
        <v>2</v>
      </c>
      <c r="D14" s="6" t="s">
        <v>5</v>
      </c>
      <c r="E14" s="3">
        <v>120000</v>
      </c>
      <c r="F14" s="3">
        <v>240000</v>
      </c>
      <c r="G14" s="2" t="s">
        <v>6</v>
      </c>
    </row>
    <row r="15" spans="1:7" x14ac:dyDescent="0.25">
      <c r="A15" s="1" t="s">
        <v>23</v>
      </c>
      <c r="B15" s="1" t="s">
        <v>44</v>
      </c>
      <c r="C15" s="6">
        <v>1</v>
      </c>
      <c r="D15" s="6" t="s">
        <v>5</v>
      </c>
      <c r="E15" s="3">
        <v>120000</v>
      </c>
      <c r="F15" s="3">
        <v>120000</v>
      </c>
      <c r="G15" s="2" t="s">
        <v>6</v>
      </c>
    </row>
    <row r="16" spans="1:7" x14ac:dyDescent="0.25">
      <c r="A16" s="4">
        <v>46270</v>
      </c>
      <c r="B16" s="1" t="s">
        <v>45</v>
      </c>
      <c r="C16" s="6">
        <v>2</v>
      </c>
      <c r="D16" s="6" t="s">
        <v>1</v>
      </c>
      <c r="E16" s="3">
        <v>60000</v>
      </c>
      <c r="F16" s="3">
        <v>120000</v>
      </c>
      <c r="G16" s="2" t="s">
        <v>6</v>
      </c>
    </row>
    <row r="17" spans="1:7" x14ac:dyDescent="0.25">
      <c r="A17" s="4">
        <v>46270</v>
      </c>
      <c r="B17" s="1" t="s">
        <v>46</v>
      </c>
      <c r="C17" s="6">
        <v>2</v>
      </c>
      <c r="D17" s="6" t="s">
        <v>5</v>
      </c>
      <c r="E17" s="3">
        <v>120000</v>
      </c>
      <c r="F17" s="3">
        <v>240000</v>
      </c>
      <c r="G17" s="2" t="s">
        <v>6</v>
      </c>
    </row>
    <row r="18" spans="1:7" x14ac:dyDescent="0.25">
      <c r="A18" s="4">
        <v>46275</v>
      </c>
      <c r="B18" s="1" t="s">
        <v>47</v>
      </c>
      <c r="C18" s="6">
        <v>1</v>
      </c>
      <c r="D18" s="6" t="s">
        <v>3</v>
      </c>
      <c r="E18" s="3">
        <v>250000</v>
      </c>
      <c r="F18" s="3">
        <v>250000</v>
      </c>
      <c r="G18" s="2" t="s">
        <v>6</v>
      </c>
    </row>
    <row r="19" spans="1:7" x14ac:dyDescent="0.25">
      <c r="A19" s="4">
        <v>46275</v>
      </c>
      <c r="B19" s="1" t="s">
        <v>48</v>
      </c>
      <c r="C19" s="6">
        <v>1</v>
      </c>
      <c r="D19" s="6" t="s">
        <v>5</v>
      </c>
      <c r="E19" s="3">
        <v>120000</v>
      </c>
      <c r="F19" s="3">
        <v>120000</v>
      </c>
      <c r="G19" s="2" t="s">
        <v>6</v>
      </c>
    </row>
    <row r="20" spans="1:7" x14ac:dyDescent="0.25">
      <c r="A20" s="4">
        <v>46285</v>
      </c>
      <c r="B20" s="1" t="s">
        <v>49</v>
      </c>
      <c r="C20" s="6">
        <v>3</v>
      </c>
      <c r="D20" s="6" t="s">
        <v>5</v>
      </c>
      <c r="E20" s="3">
        <v>120000</v>
      </c>
      <c r="F20" s="3">
        <v>360000</v>
      </c>
      <c r="G20" s="2" t="s">
        <v>6</v>
      </c>
    </row>
    <row r="21" spans="1:7" x14ac:dyDescent="0.25">
      <c r="A21" s="4">
        <v>46290</v>
      </c>
      <c r="B21" s="1" t="s">
        <v>50</v>
      </c>
      <c r="C21" s="6">
        <v>1</v>
      </c>
      <c r="D21" s="6" t="s">
        <v>5</v>
      </c>
      <c r="E21" s="3">
        <v>120000</v>
      </c>
      <c r="F21" s="3">
        <v>120000</v>
      </c>
      <c r="G21" s="2" t="s">
        <v>6</v>
      </c>
    </row>
    <row r="22" spans="1:7" x14ac:dyDescent="0.25">
      <c r="A22" s="4">
        <v>46295</v>
      </c>
      <c r="B22" s="1" t="s">
        <v>51</v>
      </c>
      <c r="C22" s="6">
        <v>1</v>
      </c>
      <c r="D22" s="6" t="s">
        <v>5</v>
      </c>
      <c r="E22" s="3">
        <v>120000</v>
      </c>
      <c r="F22" s="3">
        <v>120000</v>
      </c>
      <c r="G22" s="2" t="s">
        <v>6</v>
      </c>
    </row>
    <row r="23" spans="1:7" x14ac:dyDescent="0.25">
      <c r="A23" s="1" t="s">
        <v>24</v>
      </c>
      <c r="B23" s="1" t="s">
        <v>52</v>
      </c>
      <c r="C23" s="6">
        <v>2</v>
      </c>
      <c r="D23" s="6" t="s">
        <v>5</v>
      </c>
      <c r="E23" s="3">
        <v>120000</v>
      </c>
      <c r="F23" s="3">
        <v>240000</v>
      </c>
      <c r="G23" s="2" t="s">
        <v>6</v>
      </c>
    </row>
    <row r="24" spans="1:7" x14ac:dyDescent="0.25">
      <c r="A24" s="1" t="s">
        <v>25</v>
      </c>
      <c r="B24" s="1" t="s">
        <v>53</v>
      </c>
      <c r="C24" s="6">
        <v>1</v>
      </c>
      <c r="D24" s="6" t="s">
        <v>5</v>
      </c>
      <c r="E24" s="3">
        <v>120000</v>
      </c>
      <c r="F24" s="3">
        <v>120000</v>
      </c>
      <c r="G24" s="2" t="s">
        <v>6</v>
      </c>
    </row>
    <row r="25" spans="1:7" x14ac:dyDescent="0.25">
      <c r="A25" s="1" t="s">
        <v>26</v>
      </c>
      <c r="B25" s="1" t="s">
        <v>54</v>
      </c>
      <c r="C25" s="6">
        <v>1</v>
      </c>
      <c r="D25" s="6" t="s">
        <v>5</v>
      </c>
      <c r="E25" s="3">
        <v>120000</v>
      </c>
      <c r="F25" s="3">
        <v>120000</v>
      </c>
      <c r="G25" s="2" t="s">
        <v>6</v>
      </c>
    </row>
    <row r="26" spans="1:7" x14ac:dyDescent="0.25">
      <c r="A26" s="1" t="s">
        <v>27</v>
      </c>
      <c r="B26" s="1" t="s">
        <v>55</v>
      </c>
      <c r="C26" s="6">
        <v>2</v>
      </c>
      <c r="D26" s="6" t="s">
        <v>5</v>
      </c>
      <c r="E26" s="3">
        <v>120000</v>
      </c>
      <c r="F26" s="3">
        <v>240000</v>
      </c>
      <c r="G26" s="2" t="s">
        <v>6</v>
      </c>
    </row>
    <row r="27" spans="1:7" x14ac:dyDescent="0.25">
      <c r="A27" s="1" t="s">
        <v>56</v>
      </c>
      <c r="B27" s="1" t="s">
        <v>57</v>
      </c>
      <c r="C27" s="6">
        <v>1</v>
      </c>
      <c r="D27" s="6" t="s">
        <v>5</v>
      </c>
      <c r="E27" s="3">
        <v>120000</v>
      </c>
      <c r="F27" s="3">
        <v>120000</v>
      </c>
      <c r="G27" s="2" t="s">
        <v>6</v>
      </c>
    </row>
    <row r="28" spans="1:7" x14ac:dyDescent="0.25">
      <c r="A28" s="4">
        <v>46331</v>
      </c>
      <c r="B28" s="1" t="s">
        <v>58</v>
      </c>
      <c r="C28" s="6">
        <v>1</v>
      </c>
      <c r="D28" s="6" t="s">
        <v>3</v>
      </c>
      <c r="E28" s="3">
        <v>255000</v>
      </c>
      <c r="F28" s="3">
        <v>255000</v>
      </c>
      <c r="G28" s="2" t="s">
        <v>6</v>
      </c>
    </row>
    <row r="29" spans="1:7" x14ac:dyDescent="0.25">
      <c r="A29" s="4">
        <v>46331</v>
      </c>
      <c r="B29" s="1" t="s">
        <v>59</v>
      </c>
      <c r="C29" s="6">
        <v>1</v>
      </c>
      <c r="D29" s="6" t="s">
        <v>5</v>
      </c>
      <c r="E29" s="3">
        <v>120000</v>
      </c>
      <c r="F29" s="3">
        <v>120000</v>
      </c>
      <c r="G29" s="2" t="s">
        <v>6</v>
      </c>
    </row>
    <row r="30" spans="1:7" x14ac:dyDescent="0.25">
      <c r="A30" s="4">
        <v>46336</v>
      </c>
      <c r="B30" s="1" t="s">
        <v>60</v>
      </c>
      <c r="C30" s="6">
        <v>1</v>
      </c>
      <c r="D30" s="6" t="s">
        <v>5</v>
      </c>
      <c r="E30" s="3">
        <v>120000</v>
      </c>
      <c r="F30" s="3">
        <v>120000</v>
      </c>
      <c r="G30" s="2" t="s">
        <v>6</v>
      </c>
    </row>
    <row r="31" spans="1:7" x14ac:dyDescent="0.25">
      <c r="A31" s="4">
        <v>46341</v>
      </c>
      <c r="B31" s="1" t="s">
        <v>61</v>
      </c>
      <c r="C31" s="6">
        <v>1</v>
      </c>
      <c r="D31" s="6" t="s">
        <v>3</v>
      </c>
      <c r="E31" s="3">
        <v>1500000</v>
      </c>
      <c r="F31" s="3">
        <v>1500000</v>
      </c>
      <c r="G31" s="2" t="s">
        <v>6</v>
      </c>
    </row>
    <row r="32" spans="1:7" x14ac:dyDescent="0.25">
      <c r="A32" s="4">
        <v>46346</v>
      </c>
      <c r="B32" s="1" t="s">
        <v>62</v>
      </c>
      <c r="C32" s="6">
        <v>1</v>
      </c>
      <c r="D32" s="6" t="s">
        <v>3</v>
      </c>
      <c r="E32" s="3">
        <v>1000000</v>
      </c>
      <c r="F32" s="3">
        <v>1000000</v>
      </c>
      <c r="G32" s="2" t="s">
        <v>6</v>
      </c>
    </row>
    <row r="33" spans="1:7" x14ac:dyDescent="0.25">
      <c r="A33" s="4">
        <v>46351</v>
      </c>
      <c r="B33" s="1" t="s">
        <v>63</v>
      </c>
      <c r="C33" s="6">
        <v>1</v>
      </c>
      <c r="D33" s="6" t="s">
        <v>5</v>
      </c>
      <c r="E33" s="3">
        <v>120000</v>
      </c>
      <c r="F33" s="3">
        <v>120000</v>
      </c>
      <c r="G33" s="2" t="s">
        <v>6</v>
      </c>
    </row>
    <row r="34" spans="1:7" x14ac:dyDescent="0.25">
      <c r="A34" s="4">
        <v>46356</v>
      </c>
      <c r="B34" s="1" t="s">
        <v>64</v>
      </c>
      <c r="C34" s="6">
        <v>1</v>
      </c>
      <c r="D34" s="6" t="s">
        <v>5</v>
      </c>
      <c r="E34" s="3">
        <v>120000</v>
      </c>
      <c r="F34" s="3">
        <v>120000</v>
      </c>
      <c r="G34" s="2" t="s">
        <v>6</v>
      </c>
    </row>
    <row r="35" spans="1:7" x14ac:dyDescent="0.25">
      <c r="A35" s="1" t="s">
        <v>28</v>
      </c>
      <c r="B35" s="1" t="s">
        <v>65</v>
      </c>
      <c r="C35" s="6">
        <v>140</v>
      </c>
      <c r="D35" s="6" t="s">
        <v>4</v>
      </c>
      <c r="E35" s="3">
        <v>2000</v>
      </c>
      <c r="F35" s="3">
        <v>280000</v>
      </c>
      <c r="G35" s="2" t="s">
        <v>6</v>
      </c>
    </row>
    <row r="36" spans="1:7" x14ac:dyDescent="0.25">
      <c r="A36" s="1" t="s">
        <v>29</v>
      </c>
      <c r="B36" s="1" t="s">
        <v>66</v>
      </c>
      <c r="C36" s="6">
        <v>1</v>
      </c>
      <c r="D36" s="6" t="s">
        <v>5</v>
      </c>
      <c r="E36" s="3">
        <v>120000</v>
      </c>
      <c r="F36" s="3">
        <v>120000</v>
      </c>
      <c r="G36" s="2" t="s">
        <v>6</v>
      </c>
    </row>
    <row r="37" spans="1:7" x14ac:dyDescent="0.25">
      <c r="A37" s="1" t="s">
        <v>67</v>
      </c>
      <c r="B37" s="1" t="s">
        <v>68</v>
      </c>
      <c r="C37" s="6">
        <v>1</v>
      </c>
      <c r="D37" s="6" t="s">
        <v>3</v>
      </c>
      <c r="E37" s="3">
        <v>200000</v>
      </c>
      <c r="F37" s="3">
        <v>200000</v>
      </c>
      <c r="G37" s="2" t="s">
        <v>6</v>
      </c>
    </row>
    <row r="38" spans="1:7" x14ac:dyDescent="0.25">
      <c r="A38" s="1" t="s">
        <v>30</v>
      </c>
      <c r="B38" s="1" t="s">
        <v>69</v>
      </c>
      <c r="C38" s="6">
        <v>1</v>
      </c>
      <c r="D38" s="6" t="s">
        <v>3</v>
      </c>
      <c r="E38" s="3">
        <v>2450000</v>
      </c>
      <c r="F38" s="3">
        <v>2450000</v>
      </c>
      <c r="G38" s="2" t="s">
        <v>6</v>
      </c>
    </row>
    <row r="39" spans="1:7" x14ac:dyDescent="0.25">
      <c r="A39" s="1" t="s">
        <v>31</v>
      </c>
      <c r="B39" s="1" t="s">
        <v>70</v>
      </c>
      <c r="C39" s="6">
        <v>1</v>
      </c>
      <c r="D39" s="6" t="s">
        <v>5</v>
      </c>
      <c r="E39" s="3">
        <v>120000</v>
      </c>
      <c r="F39" s="3">
        <v>120000</v>
      </c>
      <c r="G39" s="2" t="s">
        <v>6</v>
      </c>
    </row>
    <row r="40" spans="1:7" x14ac:dyDescent="0.25">
      <c r="A40" s="1" t="s">
        <v>32</v>
      </c>
      <c r="B40" s="1" t="s">
        <v>71</v>
      </c>
      <c r="C40" s="6">
        <v>1</v>
      </c>
      <c r="D40" s="6" t="s">
        <v>5</v>
      </c>
      <c r="E40" s="3">
        <v>120000</v>
      </c>
      <c r="F40" s="3">
        <v>120000</v>
      </c>
      <c r="G40" s="2" t="s">
        <v>6</v>
      </c>
    </row>
    <row r="41" spans="1:7" x14ac:dyDescent="0.25">
      <c r="A41" s="1" t="s">
        <v>33</v>
      </c>
      <c r="B41" s="1" t="s">
        <v>72</v>
      </c>
      <c r="C41" s="7">
        <v>7000</v>
      </c>
      <c r="D41" s="6" t="s">
        <v>0</v>
      </c>
      <c r="E41" s="3">
        <v>6500</v>
      </c>
      <c r="F41" s="2" t="s">
        <v>6</v>
      </c>
      <c r="G41" s="3">
        <v>45500000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4E1D-AD32-4708-82B1-C5FC12BD9911}">
  <dimension ref="B1:O45"/>
  <sheetViews>
    <sheetView showGridLines="0" zoomScale="85" zoomScaleNormal="85" workbookViewId="0">
      <selection activeCell="F14" sqref="F14"/>
    </sheetView>
  </sheetViews>
  <sheetFormatPr defaultColWidth="8.7109375" defaultRowHeight="15" x14ac:dyDescent="0.25"/>
  <cols>
    <col min="1" max="2" width="1.5703125" style="45" customWidth="1"/>
    <col min="3" max="5" width="1.5703125" style="46" customWidth="1"/>
    <col min="6" max="6" width="34.7109375" style="46" customWidth="1"/>
    <col min="7" max="7" width="28.28515625" style="46" customWidth="1"/>
    <col min="8" max="8" width="6" style="46" customWidth="1"/>
    <col min="9" max="9" width="1.5703125" style="46" customWidth="1"/>
    <col min="10" max="10" width="36.85546875" style="45" customWidth="1"/>
    <col min="11" max="11" width="28.5703125" style="45" customWidth="1"/>
    <col min="12" max="12" width="1.5703125" style="45" customWidth="1"/>
    <col min="13" max="13" width="13.140625" style="45" customWidth="1"/>
    <col min="14" max="15" width="1.5703125" style="45" customWidth="1"/>
    <col min="16" max="16" width="15.85546875" style="45" customWidth="1"/>
    <col min="17" max="17" width="1.5703125" style="45" customWidth="1"/>
    <col min="18" max="16384" width="8.7109375" style="45"/>
  </cols>
  <sheetData>
    <row r="1" spans="2:12" ht="15.75" thickBot="1" x14ac:dyDescent="0.3"/>
    <row r="2" spans="2:12" ht="6.6" customHeight="1" thickTop="1" thickBot="1" x14ac:dyDescent="0.3">
      <c r="B2" s="47"/>
      <c r="C2" s="48"/>
      <c r="D2" s="48"/>
      <c r="E2" s="48"/>
      <c r="F2" s="48"/>
      <c r="G2" s="48"/>
      <c r="H2" s="48"/>
      <c r="I2" s="48"/>
      <c r="J2" s="49"/>
      <c r="K2" s="49"/>
      <c r="L2" s="50"/>
    </row>
    <row r="3" spans="2:12" ht="14.45" customHeight="1" x14ac:dyDescent="0.25">
      <c r="B3" s="51"/>
      <c r="C3" s="52"/>
      <c r="D3" s="52"/>
      <c r="E3" s="52"/>
      <c r="F3" s="53"/>
      <c r="G3" s="241" t="s">
        <v>130</v>
      </c>
      <c r="H3" s="242"/>
      <c r="I3" s="242"/>
      <c r="J3" s="243"/>
      <c r="L3" s="54"/>
    </row>
    <row r="4" spans="2:12" ht="15" customHeight="1" thickBot="1" x14ac:dyDescent="0.3">
      <c r="B4" s="51"/>
      <c r="C4" s="52"/>
      <c r="D4" s="52"/>
      <c r="E4" s="52"/>
      <c r="F4" s="52"/>
      <c r="G4" s="244"/>
      <c r="H4" s="245"/>
      <c r="I4" s="245"/>
      <c r="J4" s="246"/>
      <c r="L4" s="54"/>
    </row>
    <row r="5" spans="2:12" ht="6.6" customHeight="1" thickBot="1" x14ac:dyDescent="0.3">
      <c r="B5" s="51"/>
      <c r="C5" s="52"/>
      <c r="D5" s="52"/>
      <c r="E5" s="52"/>
      <c r="F5" s="52"/>
      <c r="G5" s="52"/>
      <c r="H5" s="52"/>
      <c r="I5" s="52"/>
      <c r="L5" s="54"/>
    </row>
    <row r="6" spans="2:12" ht="15.75" thickBot="1" x14ac:dyDescent="0.3">
      <c r="B6" s="51"/>
      <c r="C6" s="52"/>
      <c r="D6" s="247" t="s">
        <v>131</v>
      </c>
      <c r="E6" s="248"/>
      <c r="F6" s="248"/>
      <c r="G6" s="55" t="s">
        <v>132</v>
      </c>
      <c r="H6" s="56"/>
      <c r="I6" s="247" t="s">
        <v>131</v>
      </c>
      <c r="J6" s="248"/>
      <c r="K6" s="55" t="s">
        <v>132</v>
      </c>
      <c r="L6" s="54"/>
    </row>
    <row r="7" spans="2:12" ht="15.75" x14ac:dyDescent="0.25">
      <c r="B7" s="51"/>
      <c r="C7" s="52"/>
      <c r="D7" s="57" t="s">
        <v>133</v>
      </c>
      <c r="E7" s="52"/>
      <c r="F7" s="52"/>
      <c r="G7" s="58"/>
      <c r="H7" s="52"/>
      <c r="I7" s="57" t="s">
        <v>134</v>
      </c>
      <c r="J7" s="52"/>
      <c r="K7" s="58"/>
      <c r="L7" s="54"/>
    </row>
    <row r="8" spans="2:12" x14ac:dyDescent="0.25">
      <c r="B8" s="51"/>
      <c r="C8" s="52"/>
      <c r="D8" s="59"/>
      <c r="E8" s="60" t="s">
        <v>135</v>
      </c>
      <c r="F8" s="52"/>
      <c r="G8" s="58"/>
      <c r="H8" s="52"/>
      <c r="I8" s="59"/>
      <c r="J8" s="52" t="s">
        <v>136</v>
      </c>
      <c r="K8" s="61">
        <f>'1. RAB PADI 1 Ha'!F52</f>
        <v>45500000</v>
      </c>
      <c r="L8" s="54"/>
    </row>
    <row r="9" spans="2:12" x14ac:dyDescent="0.25">
      <c r="B9" s="51"/>
      <c r="C9" s="52"/>
      <c r="D9" s="59"/>
      <c r="E9" s="52"/>
      <c r="F9" s="52" t="s">
        <v>85</v>
      </c>
      <c r="G9" s="61">
        <f>'1. RAB PADI 1 Ha'!F9</f>
        <v>412500</v>
      </c>
      <c r="H9" s="52"/>
      <c r="I9" s="59"/>
      <c r="J9" s="52"/>
      <c r="K9" s="62"/>
      <c r="L9" s="54"/>
    </row>
    <row r="10" spans="2:12" x14ac:dyDescent="0.25">
      <c r="B10" s="51"/>
      <c r="C10" s="52"/>
      <c r="D10" s="59"/>
      <c r="E10" s="52"/>
      <c r="F10" s="52" t="s">
        <v>137</v>
      </c>
      <c r="G10" s="61">
        <f>'1. RAB PADI 1 Ha'!F10</f>
        <v>322000</v>
      </c>
      <c r="H10" s="52"/>
      <c r="I10" s="59"/>
      <c r="J10" s="52"/>
      <c r="K10" s="62"/>
      <c r="L10" s="54"/>
    </row>
    <row r="11" spans="2:12" x14ac:dyDescent="0.25">
      <c r="B11" s="51"/>
      <c r="C11" s="52"/>
      <c r="D11" s="59"/>
      <c r="E11" s="52"/>
      <c r="F11" s="52" t="s">
        <v>138</v>
      </c>
      <c r="G11" s="61">
        <f>'1. RAB PADI 1 Ha'!F11</f>
        <v>517500</v>
      </c>
      <c r="H11" s="52"/>
      <c r="I11" s="59"/>
      <c r="J11" s="52"/>
      <c r="K11" s="63"/>
      <c r="L11" s="54"/>
    </row>
    <row r="12" spans="2:12" ht="15.75" x14ac:dyDescent="0.25">
      <c r="B12" s="51"/>
      <c r="C12" s="52"/>
      <c r="D12" s="59"/>
      <c r="E12" s="52"/>
      <c r="F12" s="52" t="s">
        <v>141</v>
      </c>
      <c r="G12" s="61">
        <f>'1. RAB PADI 1 Ha'!F12</f>
        <v>300000</v>
      </c>
      <c r="H12" s="52"/>
      <c r="I12" s="59"/>
      <c r="J12" s="64" t="s">
        <v>140</v>
      </c>
      <c r="K12" s="61">
        <f>SUM(K8:K10)</f>
        <v>45500000</v>
      </c>
      <c r="L12" s="54"/>
    </row>
    <row r="13" spans="2:12" ht="15.75" thickBot="1" x14ac:dyDescent="0.3">
      <c r="B13" s="51"/>
      <c r="C13" s="52"/>
      <c r="D13" s="59"/>
      <c r="E13" s="52"/>
      <c r="F13" s="52" t="s">
        <v>139</v>
      </c>
      <c r="G13" s="61">
        <f>'1. RAB PADI 1 Ha'!F13</f>
        <v>112000</v>
      </c>
      <c r="H13" s="52"/>
      <c r="I13" s="65"/>
      <c r="J13" s="66"/>
      <c r="K13" s="67"/>
      <c r="L13" s="54"/>
    </row>
    <row r="14" spans="2:12" x14ac:dyDescent="0.25">
      <c r="B14" s="51"/>
      <c r="C14" s="52"/>
      <c r="D14" s="59"/>
      <c r="E14" s="52"/>
      <c r="F14" s="52" t="s">
        <v>142</v>
      </c>
      <c r="G14" s="61">
        <f>'1. RAB PADI 1 Ha'!F14</f>
        <v>505000</v>
      </c>
      <c r="H14" s="52"/>
      <c r="I14" s="52"/>
      <c r="J14" s="52"/>
      <c r="K14" s="52"/>
      <c r="L14" s="54"/>
    </row>
    <row r="15" spans="2:12" x14ac:dyDescent="0.25">
      <c r="B15" s="51"/>
      <c r="C15" s="52"/>
      <c r="D15" s="59"/>
      <c r="E15" s="52"/>
      <c r="F15" s="52" t="s">
        <v>90</v>
      </c>
      <c r="G15" s="61">
        <f>'1. RAB PADI 1 Ha'!F15</f>
        <v>280000</v>
      </c>
      <c r="H15" s="52"/>
      <c r="I15" s="52"/>
      <c r="J15" s="52"/>
      <c r="K15" s="52"/>
      <c r="L15" s="54"/>
    </row>
    <row r="16" spans="2:12" ht="15.75" thickBot="1" x14ac:dyDescent="0.3">
      <c r="B16" s="51"/>
      <c r="C16" s="52"/>
      <c r="D16" s="235" t="s">
        <v>143</v>
      </c>
      <c r="E16" s="236"/>
      <c r="F16" s="237"/>
      <c r="G16" s="61">
        <f>SUM(G9:G15)</f>
        <v>2449000</v>
      </c>
      <c r="H16" s="52"/>
      <c r="I16" s="52"/>
      <c r="J16" s="52"/>
      <c r="K16" s="52"/>
      <c r="L16" s="54"/>
    </row>
    <row r="17" spans="2:12" ht="15.75" thickBot="1" x14ac:dyDescent="0.3">
      <c r="B17" s="51"/>
      <c r="C17" s="52"/>
      <c r="D17" s="59"/>
      <c r="E17" s="52"/>
      <c r="F17" s="52"/>
      <c r="G17" s="58"/>
      <c r="H17" s="52"/>
      <c r="I17" s="249" t="s">
        <v>131</v>
      </c>
      <c r="J17" s="250"/>
      <c r="K17" s="55" t="s">
        <v>132</v>
      </c>
      <c r="L17" s="54"/>
    </row>
    <row r="18" spans="2:12" ht="15.75" x14ac:dyDescent="0.25">
      <c r="B18" s="51"/>
      <c r="C18" s="52"/>
      <c r="D18" s="57"/>
      <c r="E18" s="60" t="s">
        <v>144</v>
      </c>
      <c r="F18" s="52"/>
      <c r="G18" s="58"/>
      <c r="H18" s="52"/>
      <c r="I18" s="59"/>
      <c r="K18" s="71"/>
      <c r="L18" s="54"/>
    </row>
    <row r="19" spans="2:12" ht="15.75" x14ac:dyDescent="0.25">
      <c r="B19" s="51"/>
      <c r="C19" s="52"/>
      <c r="D19" s="57"/>
      <c r="E19" s="52"/>
      <c r="F19" s="52" t="s">
        <v>145</v>
      </c>
      <c r="G19" s="61">
        <f>'1. RAB PADI 1 Ha'!F33</f>
        <v>3360000</v>
      </c>
      <c r="H19" s="52"/>
      <c r="I19" s="72" t="s">
        <v>140</v>
      </c>
      <c r="K19" s="61">
        <f>K12</f>
        <v>45500000</v>
      </c>
      <c r="L19" s="54"/>
    </row>
    <row r="20" spans="2:12" ht="15.75" x14ac:dyDescent="0.25">
      <c r="B20" s="51"/>
      <c r="C20" s="52"/>
      <c r="D20" s="57"/>
      <c r="E20" s="52"/>
      <c r="F20" s="52"/>
      <c r="G20" s="68"/>
      <c r="H20" s="52"/>
      <c r="I20" s="59"/>
      <c r="K20" s="73"/>
      <c r="L20" s="54"/>
    </row>
    <row r="21" spans="2:12" x14ac:dyDescent="0.25">
      <c r="B21" s="51"/>
      <c r="C21" s="52"/>
      <c r="D21" s="235" t="s">
        <v>143</v>
      </c>
      <c r="E21" s="236"/>
      <c r="F21" s="237"/>
      <c r="G21" s="61">
        <f>SUM(G19:G19)</f>
        <v>3360000</v>
      </c>
      <c r="H21" s="52"/>
      <c r="I21" s="59"/>
      <c r="K21" s="71"/>
      <c r="L21" s="54"/>
    </row>
    <row r="22" spans="2:12" x14ac:dyDescent="0.25">
      <c r="B22" s="51"/>
      <c r="C22" s="52"/>
      <c r="D22" s="59"/>
      <c r="E22" s="52"/>
      <c r="F22" s="52"/>
      <c r="G22" s="58"/>
      <c r="H22" s="52"/>
      <c r="I22" s="72" t="s">
        <v>146</v>
      </c>
      <c r="K22" s="74">
        <f>G39</f>
        <v>22159000</v>
      </c>
      <c r="L22" s="54"/>
    </row>
    <row r="23" spans="2:12" ht="15.95" customHeight="1" x14ac:dyDescent="0.25">
      <c r="B23" s="51"/>
      <c r="C23" s="52"/>
      <c r="D23" s="59"/>
      <c r="E23" s="60" t="s">
        <v>147</v>
      </c>
      <c r="F23" s="52"/>
      <c r="G23" s="58"/>
      <c r="H23" s="52"/>
      <c r="I23" s="59"/>
      <c r="K23" s="71"/>
      <c r="L23" s="54"/>
    </row>
    <row r="24" spans="2:12" ht="16.5" thickBot="1" x14ac:dyDescent="0.3">
      <c r="B24" s="51"/>
      <c r="C24" s="52"/>
      <c r="D24" s="59"/>
      <c r="E24" s="52"/>
      <c r="F24" s="52" t="s">
        <v>196</v>
      </c>
      <c r="G24" s="61">
        <f>'1. RAB PADI 1 Ha'!F19</f>
        <v>2100000</v>
      </c>
      <c r="H24" s="52"/>
      <c r="I24" s="59"/>
      <c r="J24" s="75" t="s">
        <v>130</v>
      </c>
      <c r="K24" s="76">
        <f>K19-K22</f>
        <v>23341000</v>
      </c>
      <c r="L24" s="54"/>
    </row>
    <row r="25" spans="2:12" ht="17.100000000000001" customHeight="1" thickTop="1" x14ac:dyDescent="0.25">
      <c r="B25" s="51"/>
      <c r="C25" s="52"/>
      <c r="D25" s="59"/>
      <c r="E25" s="52"/>
      <c r="F25" s="52" t="s">
        <v>148</v>
      </c>
      <c r="G25" s="61">
        <f>'1. RAB PADI 1 Ha'!F20</f>
        <v>2100000</v>
      </c>
      <c r="H25" s="52"/>
      <c r="I25" s="224"/>
      <c r="J25" s="225"/>
      <c r="K25" s="226"/>
      <c r="L25" s="54"/>
    </row>
    <row r="26" spans="2:12" x14ac:dyDescent="0.25">
      <c r="B26" s="51"/>
      <c r="C26" s="52"/>
      <c r="D26" s="59"/>
      <c r="E26" s="52"/>
      <c r="F26" s="52" t="s">
        <v>164</v>
      </c>
      <c r="G26" s="61">
        <f>'1. RAB PADI 1 Ha'!F21</f>
        <v>2450000</v>
      </c>
      <c r="H26" s="52"/>
      <c r="I26" s="234"/>
      <c r="J26" s="234"/>
      <c r="K26" s="56"/>
      <c r="L26" s="54"/>
    </row>
    <row r="27" spans="2:12" x14ac:dyDescent="0.25">
      <c r="B27" s="51"/>
      <c r="C27" s="52"/>
      <c r="D27" s="59"/>
      <c r="E27" s="52"/>
      <c r="F27" s="52" t="s">
        <v>197</v>
      </c>
      <c r="G27" s="61">
        <f>'1. RAB PADI 1 Ha'!F22</f>
        <v>1500000</v>
      </c>
      <c r="H27" s="52"/>
      <c r="I27" s="52"/>
      <c r="L27" s="54"/>
    </row>
    <row r="28" spans="2:12" x14ac:dyDescent="0.25">
      <c r="B28" s="51"/>
      <c r="C28" s="52"/>
      <c r="D28" s="59"/>
      <c r="E28" s="52"/>
      <c r="F28" s="52"/>
      <c r="G28" s="68"/>
      <c r="H28" s="52"/>
      <c r="I28" s="52"/>
      <c r="K28" s="222"/>
      <c r="L28" s="54"/>
    </row>
    <row r="29" spans="2:12" x14ac:dyDescent="0.25">
      <c r="B29" s="51"/>
      <c r="C29" s="52"/>
      <c r="D29" s="235" t="s">
        <v>143</v>
      </c>
      <c r="E29" s="236"/>
      <c r="F29" s="237"/>
      <c r="G29" s="61">
        <f>SUM(G24:G27)</f>
        <v>8150000</v>
      </c>
      <c r="H29" s="52"/>
      <c r="I29" s="52"/>
      <c r="L29" s="54"/>
    </row>
    <row r="30" spans="2:12" x14ac:dyDescent="0.25">
      <c r="B30" s="51"/>
      <c r="C30" s="52"/>
      <c r="D30" s="69"/>
      <c r="E30" s="70"/>
      <c r="F30" s="70"/>
      <c r="G30" s="61"/>
      <c r="H30" s="52"/>
      <c r="I30" s="52"/>
      <c r="L30" s="54"/>
    </row>
    <row r="31" spans="2:12" x14ac:dyDescent="0.25">
      <c r="B31" s="51"/>
      <c r="C31" s="52"/>
      <c r="D31" s="59"/>
      <c r="E31" s="60" t="s">
        <v>149</v>
      </c>
      <c r="F31" s="52"/>
      <c r="G31" s="77"/>
      <c r="H31" s="52"/>
      <c r="I31" s="223"/>
      <c r="K31" s="222"/>
      <c r="L31" s="54"/>
    </row>
    <row r="32" spans="2:12" x14ac:dyDescent="0.25">
      <c r="B32" s="51"/>
      <c r="C32" s="52"/>
      <c r="D32" s="59"/>
      <c r="E32" s="52"/>
      <c r="F32" s="52" t="s">
        <v>111</v>
      </c>
      <c r="G32" s="61">
        <f>'1. RAB PADI 1 Ha'!F42</f>
        <v>1000000</v>
      </c>
      <c r="H32" s="52"/>
      <c r="I32" s="52"/>
      <c r="L32" s="54"/>
    </row>
    <row r="33" spans="2:15" ht="15.75" x14ac:dyDescent="0.25">
      <c r="B33" s="51"/>
      <c r="C33" s="52"/>
      <c r="D33" s="59"/>
      <c r="E33" s="52"/>
      <c r="F33" s="52" t="s">
        <v>150</v>
      </c>
      <c r="G33" s="61">
        <f>'1. RAB PADI 1 Ha'!F43</f>
        <v>200000</v>
      </c>
      <c r="H33" s="52"/>
      <c r="I33" s="52"/>
      <c r="J33" s="75"/>
      <c r="K33" s="222"/>
      <c r="L33" s="54"/>
    </row>
    <row r="34" spans="2:15" ht="15.75" x14ac:dyDescent="0.25">
      <c r="B34" s="51"/>
      <c r="C34" s="52"/>
      <c r="D34" s="59"/>
      <c r="E34" s="52"/>
      <c r="F34" s="52" t="s">
        <v>198</v>
      </c>
      <c r="G34" s="61">
        <f>'1. RAB PADI 1 Ha'!F38</f>
        <v>7000000</v>
      </c>
      <c r="H34" s="52"/>
      <c r="I34" s="52"/>
      <c r="J34" s="75"/>
      <c r="K34" s="222"/>
      <c r="L34" s="54"/>
    </row>
    <row r="35" spans="2:15" x14ac:dyDescent="0.25">
      <c r="B35" s="51"/>
      <c r="C35" s="52"/>
      <c r="D35" s="59"/>
      <c r="E35" s="52"/>
      <c r="F35" s="52"/>
      <c r="G35" s="78"/>
      <c r="H35" s="52"/>
      <c r="I35" s="52"/>
      <c r="L35" s="54"/>
    </row>
    <row r="36" spans="2:15" x14ac:dyDescent="0.25">
      <c r="B36" s="51"/>
      <c r="C36" s="52"/>
      <c r="D36" s="235" t="s">
        <v>143</v>
      </c>
      <c r="E36" s="236"/>
      <c r="F36" s="237"/>
      <c r="G36" s="61">
        <f>SUM(G32:G34)</f>
        <v>8200000</v>
      </c>
      <c r="H36" s="52"/>
      <c r="I36" s="52"/>
      <c r="L36" s="54"/>
      <c r="O36" s="79">
        <f>K33/60</f>
        <v>0</v>
      </c>
    </row>
    <row r="37" spans="2:15" ht="15.75" thickBot="1" x14ac:dyDescent="0.3">
      <c r="B37" s="51"/>
      <c r="C37" s="52"/>
      <c r="D37" s="59"/>
      <c r="E37" s="52"/>
      <c r="F37" s="52"/>
      <c r="G37" s="77"/>
      <c r="H37" s="52"/>
      <c r="I37" s="52"/>
      <c r="L37" s="54"/>
    </row>
    <row r="38" spans="2:15" x14ac:dyDescent="0.25">
      <c r="B38" s="51"/>
      <c r="C38" s="52"/>
      <c r="D38" s="59"/>
      <c r="E38" s="52"/>
      <c r="F38" s="52"/>
      <c r="G38" s="80"/>
      <c r="H38" s="52"/>
      <c r="I38" s="52"/>
      <c r="L38" s="54"/>
    </row>
    <row r="39" spans="2:15" ht="15.75" x14ac:dyDescent="0.25">
      <c r="B39" s="51"/>
      <c r="C39" s="52"/>
      <c r="D39" s="238" t="s">
        <v>146</v>
      </c>
      <c r="E39" s="239"/>
      <c r="F39" s="240"/>
      <c r="G39" s="61">
        <f>G16+G21+G29+G36</f>
        <v>22159000</v>
      </c>
      <c r="H39" s="52"/>
      <c r="I39" s="52"/>
      <c r="L39" s="54"/>
    </row>
    <row r="40" spans="2:15" ht="13.5" customHeight="1" thickBot="1" x14ac:dyDescent="0.3">
      <c r="B40" s="51"/>
      <c r="C40" s="52"/>
      <c r="D40" s="65"/>
      <c r="E40" s="66"/>
      <c r="F40" s="66"/>
      <c r="G40" s="67"/>
      <c r="H40" s="52"/>
      <c r="I40" s="52"/>
      <c r="L40" s="54"/>
    </row>
    <row r="41" spans="2:15" ht="15.75" thickBot="1" x14ac:dyDescent="0.3">
      <c r="B41" s="81"/>
      <c r="C41" s="82"/>
      <c r="D41" s="82"/>
      <c r="E41" s="82"/>
      <c r="F41" s="82"/>
      <c r="G41" s="82"/>
      <c r="H41" s="82"/>
      <c r="I41" s="82"/>
      <c r="J41" s="83"/>
      <c r="K41" s="83"/>
      <c r="L41" s="84"/>
    </row>
    <row r="42" spans="2:15" ht="14.45" customHeight="1" thickTop="1" x14ac:dyDescent="0.25">
      <c r="I42" s="52"/>
    </row>
    <row r="44" spans="2:15" ht="6.95" customHeight="1" x14ac:dyDescent="0.25"/>
    <row r="45" spans="2:15" ht="8.1" customHeight="1" x14ac:dyDescent="0.25"/>
  </sheetData>
  <mergeCells count="10">
    <mergeCell ref="I26:J26"/>
    <mergeCell ref="D29:F29"/>
    <mergeCell ref="D36:F36"/>
    <mergeCell ref="D39:F39"/>
    <mergeCell ref="G3:J4"/>
    <mergeCell ref="D6:F6"/>
    <mergeCell ref="I6:J6"/>
    <mergeCell ref="D16:F16"/>
    <mergeCell ref="I17:J17"/>
    <mergeCell ref="D21:F21"/>
  </mergeCells>
  <printOptions horizontalCentered="1" verticalCentered="1"/>
  <pageMargins left="0" right="0" top="0.35433070866141736" bottom="0.19685039370078741" header="0.31496062992125984" footer="0.31496062992125984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53DE-7F20-4E03-9F8C-ED1B4BF2F5CC}">
  <sheetPr>
    <pageSetUpPr fitToPage="1"/>
  </sheetPr>
  <dimension ref="B1:P47"/>
  <sheetViews>
    <sheetView showGridLines="0" topLeftCell="C19" zoomScale="80" zoomScaleNormal="80" workbookViewId="0">
      <selection activeCell="Q40" sqref="Q40"/>
    </sheetView>
  </sheetViews>
  <sheetFormatPr defaultColWidth="8.7109375" defaultRowHeight="15" x14ac:dyDescent="0.25"/>
  <cols>
    <col min="1" max="2" width="1.5703125" style="45" customWidth="1"/>
    <col min="3" max="4" width="1.5703125" style="85" customWidth="1"/>
    <col min="5" max="5" width="28.5703125" style="85" customWidth="1"/>
    <col min="6" max="6" width="14.7109375" style="85" customWidth="1"/>
    <col min="7" max="7" width="15.85546875" style="85" bestFit="1" customWidth="1"/>
    <col min="8" max="10" width="14.85546875" style="85" bestFit="1" customWidth="1"/>
    <col min="11" max="11" width="16.85546875" style="85" bestFit="1" customWidth="1"/>
    <col min="12" max="12" width="17" style="85" bestFit="1" customWidth="1"/>
    <col min="13" max="15" width="1.5703125" style="45" customWidth="1"/>
    <col min="16" max="16" width="19.140625" style="45" bestFit="1" customWidth="1"/>
    <col min="17" max="16384" width="8.7109375" style="45"/>
  </cols>
  <sheetData>
    <row r="1" spans="2:16" ht="14.45" customHeight="1" x14ac:dyDescent="0.25"/>
    <row r="2" spans="2:16" ht="14.45" customHeight="1" thickBot="1" x14ac:dyDescent="0.3"/>
    <row r="3" spans="2:16" ht="14.45" customHeight="1" thickTop="1" x14ac:dyDescent="0.25">
      <c r="B3" s="47"/>
      <c r="C3" s="86"/>
      <c r="D3" s="86"/>
      <c r="E3" s="86"/>
      <c r="F3" s="86"/>
      <c r="G3" s="86"/>
      <c r="H3" s="86"/>
      <c r="I3" s="86"/>
      <c r="J3" s="86"/>
      <c r="K3" s="86"/>
      <c r="L3" s="86"/>
      <c r="M3" s="50"/>
    </row>
    <row r="4" spans="2:16" ht="14.45" customHeight="1" x14ac:dyDescent="0.25">
      <c r="B4" s="51"/>
      <c r="C4" s="87"/>
      <c r="D4" s="87"/>
      <c r="E4" s="251" t="s">
        <v>199</v>
      </c>
      <c r="F4" s="251"/>
      <c r="G4" s="251"/>
      <c r="H4" s="251"/>
      <c r="I4" s="251"/>
      <c r="J4" s="251"/>
      <c r="K4" s="251"/>
      <c r="L4" s="251"/>
      <c r="M4" s="54"/>
    </row>
    <row r="5" spans="2:16" ht="14.45" customHeight="1" x14ac:dyDescent="0.25">
      <c r="B5" s="51"/>
      <c r="C5" s="87"/>
      <c r="D5" s="87"/>
      <c r="E5" s="251"/>
      <c r="F5" s="251"/>
      <c r="G5" s="251"/>
      <c r="H5" s="251"/>
      <c r="I5" s="251"/>
      <c r="J5" s="251"/>
      <c r="K5" s="251"/>
      <c r="L5" s="251"/>
      <c r="M5" s="54"/>
    </row>
    <row r="6" spans="2:16" ht="14.45" customHeight="1" thickBot="1" x14ac:dyDescent="0.3">
      <c r="B6" s="51"/>
      <c r="C6" s="87"/>
      <c r="D6" s="87"/>
      <c r="E6" s="87"/>
      <c r="F6" s="87"/>
      <c r="G6" s="87"/>
      <c r="H6" s="87"/>
      <c r="I6" s="87"/>
      <c r="J6" s="87"/>
      <c r="K6" s="87"/>
      <c r="L6" s="87"/>
      <c r="M6" s="54"/>
    </row>
    <row r="7" spans="2:16" s="92" customFormat="1" ht="14.45" customHeight="1" thickBot="1" x14ac:dyDescent="0.3">
      <c r="B7" s="88"/>
      <c r="C7" s="252" t="s">
        <v>152</v>
      </c>
      <c r="D7" s="253"/>
      <c r="E7" s="253"/>
      <c r="F7" s="89" t="s">
        <v>153</v>
      </c>
      <c r="G7" s="89" t="s">
        <v>154</v>
      </c>
      <c r="H7" s="89" t="s">
        <v>155</v>
      </c>
      <c r="I7" s="89" t="s">
        <v>156</v>
      </c>
      <c r="J7" s="89" t="s">
        <v>157</v>
      </c>
      <c r="K7" s="89" t="s">
        <v>158</v>
      </c>
      <c r="L7" s="90" t="s">
        <v>159</v>
      </c>
      <c r="M7" s="91"/>
    </row>
    <row r="8" spans="2:16" s="99" customFormat="1" ht="14.45" customHeight="1" x14ac:dyDescent="0.25">
      <c r="B8" s="93"/>
      <c r="C8" s="94" t="s">
        <v>134</v>
      </c>
      <c r="D8" s="95"/>
      <c r="E8" s="95"/>
      <c r="F8" s="96"/>
      <c r="G8" s="96"/>
      <c r="H8" s="96"/>
      <c r="I8" s="96"/>
      <c r="J8" s="96"/>
      <c r="K8" s="96"/>
      <c r="L8" s="97"/>
      <c r="M8" s="98"/>
    </row>
    <row r="9" spans="2:16" ht="14.45" customHeight="1" x14ac:dyDescent="0.25">
      <c r="B9" s="51"/>
      <c r="C9" s="100"/>
      <c r="D9" s="87" t="s">
        <v>160</v>
      </c>
      <c r="E9" s="87"/>
      <c r="F9" s="101"/>
      <c r="G9" s="101"/>
      <c r="H9" s="101"/>
      <c r="I9" s="101"/>
      <c r="J9" s="101"/>
      <c r="K9" s="102">
        <f>'3. Laporan laba rugi'!K12</f>
        <v>45500000</v>
      </c>
      <c r="L9" s="103">
        <f>SUM(F9:K9)</f>
        <v>45500000</v>
      </c>
      <c r="M9" s="54"/>
    </row>
    <row r="10" spans="2:16" ht="14.45" customHeight="1" x14ac:dyDescent="0.25">
      <c r="B10" s="51"/>
      <c r="C10" s="100"/>
      <c r="D10" s="87"/>
      <c r="E10" s="87"/>
      <c r="F10" s="104"/>
      <c r="G10" s="104"/>
      <c r="H10" s="104"/>
      <c r="I10" s="104"/>
      <c r="J10" s="104"/>
      <c r="K10" s="105">
        <f>'[1]5. LABA RUGI'!K13</f>
        <v>0</v>
      </c>
      <c r="L10" s="106">
        <f>'[1]5. LABA RUGI'!L13</f>
        <v>0</v>
      </c>
      <c r="M10" s="54"/>
    </row>
    <row r="11" spans="2:16" ht="14.45" customHeight="1" thickBot="1" x14ac:dyDescent="0.3">
      <c r="B11" s="51"/>
      <c r="C11" s="100"/>
      <c r="D11" s="87"/>
      <c r="E11" s="107" t="s">
        <v>140</v>
      </c>
      <c r="F11" s="108">
        <f>SUM(F10:F10)</f>
        <v>0</v>
      </c>
      <c r="G11" s="108">
        <f>SUM(G10:G10)</f>
        <v>0</v>
      </c>
      <c r="H11" s="108">
        <f>SUM(H10:H10)</f>
        <v>0</v>
      </c>
      <c r="I11" s="108">
        <f>SUM(I10:I10)</f>
        <v>0</v>
      </c>
      <c r="J11" s="108">
        <f>SUM(J10:J10)</f>
        <v>0</v>
      </c>
      <c r="K11" s="109">
        <f>SUM(K9:K10)</f>
        <v>45500000</v>
      </c>
      <c r="L11" s="110">
        <f>SUM(L9:L10)</f>
        <v>45500000</v>
      </c>
      <c r="M11" s="54"/>
    </row>
    <row r="12" spans="2:16" ht="14.45" customHeight="1" thickTop="1" x14ac:dyDescent="0.25">
      <c r="B12" s="51"/>
      <c r="C12" s="94" t="s">
        <v>133</v>
      </c>
      <c r="D12" s="87"/>
      <c r="E12" s="87"/>
      <c r="F12" s="104"/>
      <c r="G12" s="104"/>
      <c r="H12" s="104"/>
      <c r="I12" s="104"/>
      <c r="J12" s="104"/>
      <c r="K12" s="104"/>
      <c r="L12" s="111"/>
      <c r="M12" s="54"/>
    </row>
    <row r="13" spans="2:16" ht="14.45" customHeight="1" x14ac:dyDescent="0.25">
      <c r="B13" s="51"/>
      <c r="C13" s="100"/>
      <c r="D13" s="112" t="s">
        <v>161</v>
      </c>
      <c r="E13" s="87"/>
      <c r="F13" s="104"/>
      <c r="G13" s="104"/>
      <c r="H13" s="104"/>
      <c r="I13" s="104"/>
      <c r="J13" s="104"/>
      <c r="K13" s="104"/>
      <c r="L13" s="111"/>
      <c r="M13" s="54"/>
      <c r="P13" s="113"/>
    </row>
    <row r="14" spans="2:16" ht="14.45" customHeight="1" x14ac:dyDescent="0.25">
      <c r="B14" s="51"/>
      <c r="C14" s="100"/>
      <c r="D14" s="87"/>
      <c r="E14" s="87" t="s">
        <v>85</v>
      </c>
      <c r="F14" s="114"/>
      <c r="G14" s="115">
        <f>'3. Laporan laba rugi'!G9</f>
        <v>412500</v>
      </c>
      <c r="H14" s="116"/>
      <c r="I14" s="116"/>
      <c r="J14" s="116"/>
      <c r="K14" s="116"/>
      <c r="L14" s="117">
        <f>SUM(F14:K14)</f>
        <v>412500</v>
      </c>
      <c r="M14" s="54"/>
      <c r="P14" s="113"/>
    </row>
    <row r="15" spans="2:16" ht="14.45" customHeight="1" x14ac:dyDescent="0.25">
      <c r="B15" s="51"/>
      <c r="C15" s="100"/>
      <c r="D15" s="87"/>
      <c r="E15" s="87" t="s">
        <v>162</v>
      </c>
      <c r="F15" s="118"/>
      <c r="G15" s="115">
        <f>'3. Laporan laba rugi'!G10</f>
        <v>322000</v>
      </c>
      <c r="H15" s="120"/>
      <c r="I15" s="120"/>
      <c r="J15" s="120"/>
      <c r="K15" s="120"/>
      <c r="L15" s="117">
        <f t="shared" ref="L15:L20" si="0">SUM(F15:K15)</f>
        <v>322000</v>
      </c>
      <c r="M15" s="54"/>
    </row>
    <row r="16" spans="2:16" ht="14.45" customHeight="1" x14ac:dyDescent="0.25">
      <c r="B16" s="51"/>
      <c r="C16" s="100"/>
      <c r="D16" s="87"/>
      <c r="E16" s="87" t="s">
        <v>138</v>
      </c>
      <c r="F16" s="118"/>
      <c r="G16" s="115">
        <f>'3. Laporan laba rugi'!G11</f>
        <v>517500</v>
      </c>
      <c r="H16" s="120"/>
      <c r="I16" s="120"/>
      <c r="J16" s="120"/>
      <c r="K16" s="120"/>
      <c r="L16" s="117">
        <f t="shared" si="0"/>
        <v>517500</v>
      </c>
      <c r="M16" s="54"/>
    </row>
    <row r="17" spans="2:13" ht="14.45" customHeight="1" x14ac:dyDescent="0.25">
      <c r="B17" s="51"/>
      <c r="C17" s="100"/>
      <c r="D17" s="87"/>
      <c r="E17" s="87" t="s">
        <v>141</v>
      </c>
      <c r="F17" s="118"/>
      <c r="G17" s="115">
        <v>180000</v>
      </c>
      <c r="H17" s="120">
        <v>120000</v>
      </c>
      <c r="I17" s="120"/>
      <c r="J17" s="120"/>
      <c r="K17" s="120"/>
      <c r="L17" s="117">
        <f t="shared" si="0"/>
        <v>300000</v>
      </c>
      <c r="M17" s="54"/>
    </row>
    <row r="18" spans="2:13" ht="14.45" customHeight="1" x14ac:dyDescent="0.25">
      <c r="B18" s="51"/>
      <c r="C18" s="100"/>
      <c r="D18" s="87"/>
      <c r="E18" s="87" t="s">
        <v>139</v>
      </c>
      <c r="F18" s="118"/>
      <c r="G18" s="115">
        <f>'3. Laporan laba rugi'!G13</f>
        <v>112000</v>
      </c>
      <c r="H18" s="120">
        <v>250000</v>
      </c>
      <c r="I18" s="120"/>
      <c r="J18" s="120">
        <v>255000</v>
      </c>
      <c r="K18" s="120"/>
      <c r="L18" s="117">
        <f t="shared" si="0"/>
        <v>617000</v>
      </c>
      <c r="M18" s="54"/>
    </row>
    <row r="19" spans="2:13" ht="14.45" customHeight="1" x14ac:dyDescent="0.25">
      <c r="B19" s="51"/>
      <c r="C19" s="100"/>
      <c r="D19" s="87"/>
      <c r="E19" s="87" t="s">
        <v>142</v>
      </c>
      <c r="F19" s="118"/>
      <c r="G19" s="119"/>
      <c r="H19" s="120"/>
      <c r="I19" s="120"/>
      <c r="J19" s="120"/>
      <c r="K19" s="120">
        <v>280000</v>
      </c>
      <c r="L19" s="117">
        <f t="shared" si="0"/>
        <v>280000</v>
      </c>
      <c r="M19" s="54"/>
    </row>
    <row r="20" spans="2:13" ht="14.45" customHeight="1" x14ac:dyDescent="0.25">
      <c r="B20" s="51"/>
      <c r="C20" s="100"/>
      <c r="D20" s="87"/>
      <c r="E20" s="87" t="s">
        <v>90</v>
      </c>
      <c r="F20" s="228"/>
      <c r="G20" s="229"/>
      <c r="H20" s="87"/>
      <c r="I20" s="87"/>
      <c r="J20" s="87"/>
      <c r="K20" s="87"/>
      <c r="L20" s="117">
        <f t="shared" si="0"/>
        <v>0</v>
      </c>
      <c r="M20" s="54"/>
    </row>
    <row r="21" spans="2:13" ht="14.45" customHeight="1" thickBot="1" x14ac:dyDescent="0.3">
      <c r="B21" s="51"/>
      <c r="C21" s="100"/>
      <c r="D21" s="87"/>
      <c r="E21" s="121" t="s">
        <v>143</v>
      </c>
      <c r="F21" s="122"/>
      <c r="G21" s="123">
        <f>SUM(G14:G19)</f>
        <v>1544000</v>
      </c>
      <c r="H21" s="123">
        <f t="shared" ref="H21:K21" si="1">SUM(H14:H19)</f>
        <v>370000</v>
      </c>
      <c r="I21" s="123">
        <f t="shared" si="1"/>
        <v>0</v>
      </c>
      <c r="J21" s="123">
        <f t="shared" si="1"/>
        <v>255000</v>
      </c>
      <c r="K21" s="123">
        <f t="shared" si="1"/>
        <v>280000</v>
      </c>
      <c r="L21" s="126">
        <f>SUM(G21:K21)</f>
        <v>2449000</v>
      </c>
      <c r="M21" s="54"/>
    </row>
    <row r="22" spans="2:13" ht="14.45" customHeight="1" x14ac:dyDescent="0.25">
      <c r="B22" s="51"/>
      <c r="C22" s="100"/>
      <c r="D22" s="87"/>
      <c r="E22" s="121"/>
      <c r="F22" s="96"/>
      <c r="G22" s="104"/>
      <c r="H22" s="104"/>
      <c r="I22" s="104"/>
      <c r="J22" s="104"/>
      <c r="K22" s="104"/>
      <c r="L22" s="97"/>
      <c r="M22" s="54"/>
    </row>
    <row r="23" spans="2:13" ht="14.45" customHeight="1" x14ac:dyDescent="0.25">
      <c r="B23" s="51"/>
      <c r="C23" s="100"/>
      <c r="D23" s="112" t="s">
        <v>163</v>
      </c>
      <c r="E23" s="87"/>
      <c r="F23" s="104"/>
      <c r="G23" s="104"/>
      <c r="H23" s="104"/>
      <c r="I23" s="104"/>
      <c r="J23" s="104"/>
      <c r="K23" s="104"/>
      <c r="L23" s="111"/>
      <c r="M23" s="54"/>
    </row>
    <row r="24" spans="2:13" ht="14.45" customHeight="1" x14ac:dyDescent="0.25">
      <c r="B24" s="51"/>
      <c r="C24" s="100"/>
      <c r="D24" s="112"/>
      <c r="E24" s="87" t="s">
        <v>200</v>
      </c>
      <c r="F24" s="120"/>
      <c r="G24" s="119">
        <v>720000</v>
      </c>
      <c r="H24" s="119">
        <v>960000</v>
      </c>
      <c r="I24" s="119">
        <v>840000</v>
      </c>
      <c r="J24" s="119">
        <v>480000</v>
      </c>
      <c r="K24" s="120">
        <v>360000</v>
      </c>
      <c r="L24" s="117">
        <f>SUM(G24:K24)</f>
        <v>3360000</v>
      </c>
      <c r="M24" s="54"/>
    </row>
    <row r="25" spans="2:13" ht="14.45" customHeight="1" x14ac:dyDescent="0.25">
      <c r="B25" s="51"/>
      <c r="C25" s="100"/>
      <c r="D25" s="112"/>
      <c r="E25" s="87"/>
      <c r="F25" s="120"/>
      <c r="G25" s="120"/>
      <c r="H25" s="120"/>
      <c r="I25" s="120"/>
      <c r="J25" s="120"/>
      <c r="K25" s="120"/>
      <c r="L25" s="125"/>
      <c r="M25" s="54"/>
    </row>
    <row r="26" spans="2:13" ht="14.45" customHeight="1" thickBot="1" x14ac:dyDescent="0.3">
      <c r="B26" s="51"/>
      <c r="C26" s="100"/>
      <c r="D26" s="87"/>
      <c r="E26" s="121" t="s">
        <v>143</v>
      </c>
      <c r="F26" s="124"/>
      <c r="G26" s="123">
        <f>SUM(G24:G25)</f>
        <v>720000</v>
      </c>
      <c r="H26" s="123">
        <f t="shared" ref="H26:K26" si="2">SUM(H24:H25)</f>
        <v>960000</v>
      </c>
      <c r="I26" s="123">
        <f t="shared" si="2"/>
        <v>840000</v>
      </c>
      <c r="J26" s="123">
        <f t="shared" si="2"/>
        <v>480000</v>
      </c>
      <c r="K26" s="123">
        <f t="shared" si="2"/>
        <v>360000</v>
      </c>
      <c r="L26" s="126">
        <f>SUM(G26:K26)</f>
        <v>3360000</v>
      </c>
      <c r="M26" s="54"/>
    </row>
    <row r="27" spans="2:13" ht="5.0999999999999996" customHeight="1" x14ac:dyDescent="0.25">
      <c r="B27" s="51"/>
      <c r="C27" s="100"/>
      <c r="D27" s="87"/>
      <c r="E27" s="87"/>
      <c r="F27" s="104"/>
      <c r="G27" s="104"/>
      <c r="H27" s="104"/>
      <c r="I27" s="104"/>
      <c r="J27" s="104"/>
      <c r="K27" s="104"/>
      <c r="L27" s="111"/>
      <c r="M27" s="54"/>
    </row>
    <row r="28" spans="2:13" ht="14.45" customHeight="1" x14ac:dyDescent="0.25">
      <c r="B28" s="51"/>
      <c r="C28" s="100"/>
      <c r="D28" s="112" t="s">
        <v>147</v>
      </c>
      <c r="E28" s="87"/>
      <c r="F28" s="104"/>
      <c r="G28" s="104"/>
      <c r="H28" s="104"/>
      <c r="I28" s="104"/>
      <c r="J28" s="104"/>
      <c r="K28" s="104"/>
      <c r="L28" s="127"/>
      <c r="M28" s="54"/>
    </row>
    <row r="29" spans="2:13" ht="14.45" customHeight="1" x14ac:dyDescent="0.25">
      <c r="B29" s="51"/>
      <c r="C29" s="100"/>
      <c r="D29" s="87"/>
      <c r="E29" s="52" t="s">
        <v>196</v>
      </c>
      <c r="F29" s="128"/>
      <c r="G29" s="129">
        <f>'3. Laporan laba rugi'!G24</f>
        <v>2100000</v>
      </c>
      <c r="H29" s="120"/>
      <c r="I29" s="120"/>
      <c r="J29" s="120"/>
      <c r="K29" s="120"/>
      <c r="L29" s="130">
        <f>SUM(G29:K29)</f>
        <v>2100000</v>
      </c>
      <c r="M29" s="54"/>
    </row>
    <row r="30" spans="2:13" ht="14.45" customHeight="1" x14ac:dyDescent="0.25">
      <c r="B30" s="51"/>
      <c r="C30" s="100"/>
      <c r="D30" s="87"/>
      <c r="E30" s="52" t="s">
        <v>148</v>
      </c>
      <c r="F30" s="128"/>
      <c r="G30" s="129">
        <f>'3. Laporan laba rugi'!G25</f>
        <v>2100000</v>
      </c>
      <c r="H30" s="119"/>
      <c r="I30" s="119"/>
      <c r="J30" s="120"/>
      <c r="K30" s="131"/>
      <c r="L30" s="130">
        <f>SUM(G30:K30)</f>
        <v>2100000</v>
      </c>
      <c r="M30" s="54"/>
    </row>
    <row r="31" spans="2:13" ht="14.45" customHeight="1" x14ac:dyDescent="0.25">
      <c r="B31" s="51"/>
      <c r="C31" s="100"/>
      <c r="D31" s="87"/>
      <c r="E31" s="52" t="s">
        <v>164</v>
      </c>
      <c r="F31" s="128"/>
      <c r="G31" s="118"/>
      <c r="H31" s="119"/>
      <c r="I31" s="119"/>
      <c r="J31" s="120"/>
      <c r="K31" s="119">
        <f>'3. Laporan laba rugi'!G26</f>
        <v>2450000</v>
      </c>
      <c r="L31" s="130">
        <f>SUM(G31:K31)</f>
        <v>2450000</v>
      </c>
      <c r="M31" s="54"/>
    </row>
    <row r="32" spans="2:13" ht="14.45" customHeight="1" x14ac:dyDescent="0.25">
      <c r="B32" s="51"/>
      <c r="C32" s="100"/>
      <c r="D32" s="87"/>
      <c r="E32" s="52" t="s">
        <v>197</v>
      </c>
      <c r="F32" s="128"/>
      <c r="G32" s="118"/>
      <c r="H32" s="119"/>
      <c r="I32" s="119"/>
      <c r="J32" s="120">
        <f>'3. Laporan laba rugi'!G27</f>
        <v>1500000</v>
      </c>
      <c r="K32" s="131"/>
      <c r="L32" s="130">
        <f>SUM(G32:K32)</f>
        <v>1500000</v>
      </c>
      <c r="M32" s="54"/>
    </row>
    <row r="33" spans="2:16" ht="14.45" customHeight="1" thickBot="1" x14ac:dyDescent="0.3">
      <c r="B33" s="51"/>
      <c r="C33" s="100"/>
      <c r="D33" s="87"/>
      <c r="E33" s="121" t="s">
        <v>143</v>
      </c>
      <c r="F33" s="124"/>
      <c r="G33" s="133">
        <f>SUM(G29:G32)</f>
        <v>4200000</v>
      </c>
      <c r="H33" s="133">
        <f t="shared" ref="H33:L33" si="3">SUM(H29:H32)</f>
        <v>0</v>
      </c>
      <c r="I33" s="133">
        <f t="shared" si="3"/>
        <v>0</v>
      </c>
      <c r="J33" s="133">
        <f t="shared" si="3"/>
        <v>1500000</v>
      </c>
      <c r="K33" s="133">
        <f t="shared" si="3"/>
        <v>2450000</v>
      </c>
      <c r="L33" s="133">
        <f t="shared" si="3"/>
        <v>8150000</v>
      </c>
      <c r="M33" s="54"/>
    </row>
    <row r="34" spans="2:16" ht="14.45" customHeight="1" x14ac:dyDescent="0.25">
      <c r="B34" s="51"/>
      <c r="C34" s="100"/>
      <c r="D34" s="87"/>
      <c r="E34" s="87"/>
      <c r="F34" s="104"/>
      <c r="G34" s="104"/>
      <c r="H34" s="104"/>
      <c r="I34" s="104"/>
      <c r="J34" s="104"/>
      <c r="K34" s="104"/>
      <c r="L34" s="111"/>
      <c r="M34" s="54"/>
    </row>
    <row r="35" spans="2:16" ht="14.45" customHeight="1" x14ac:dyDescent="0.25">
      <c r="B35" s="51"/>
      <c r="C35" s="100"/>
      <c r="D35" s="112" t="s">
        <v>165</v>
      </c>
      <c r="E35" s="87"/>
      <c r="F35" s="134"/>
      <c r="G35" s="135"/>
      <c r="H35" s="135"/>
      <c r="I35" s="135"/>
      <c r="J35" s="135"/>
      <c r="K35" s="135"/>
      <c r="L35" s="132"/>
      <c r="M35" s="54"/>
    </row>
    <row r="36" spans="2:16" ht="14.45" customHeight="1" x14ac:dyDescent="0.25">
      <c r="B36" s="51"/>
      <c r="C36" s="100"/>
      <c r="D36" s="112"/>
      <c r="E36" s="87" t="s">
        <v>150</v>
      </c>
      <c r="F36" s="118"/>
      <c r="G36" s="120"/>
      <c r="H36" s="120"/>
      <c r="I36" s="120"/>
      <c r="J36" s="119"/>
      <c r="K36" s="120">
        <v>200000</v>
      </c>
      <c r="L36" s="130">
        <f t="shared" ref="L36:L37" si="4">SUM(F36:K36)</f>
        <v>200000</v>
      </c>
      <c r="M36" s="54"/>
    </row>
    <row r="37" spans="2:16" ht="14.45" customHeight="1" x14ac:dyDescent="0.25">
      <c r="B37" s="51"/>
      <c r="C37" s="100"/>
      <c r="D37" s="112"/>
      <c r="E37" s="87" t="s">
        <v>151</v>
      </c>
      <c r="F37" s="118"/>
      <c r="G37" s="120"/>
      <c r="H37" s="120"/>
      <c r="I37" s="120"/>
      <c r="J37" s="119">
        <v>1000000</v>
      </c>
      <c r="K37" s="120"/>
      <c r="L37" s="130">
        <f t="shared" si="4"/>
        <v>1000000</v>
      </c>
      <c r="M37" s="54"/>
    </row>
    <row r="38" spans="2:16" ht="14.45" customHeight="1" x14ac:dyDescent="0.25">
      <c r="B38" s="51"/>
      <c r="C38" s="100"/>
      <c r="D38" s="112"/>
      <c r="E38" s="87" t="s">
        <v>198</v>
      </c>
      <c r="F38" s="118"/>
      <c r="G38" s="120">
        <f>'3. Laporan laba rugi'!G34</f>
        <v>7000000</v>
      </c>
      <c r="H38" s="120"/>
      <c r="I38" s="120"/>
      <c r="J38" s="119"/>
      <c r="K38" s="120"/>
      <c r="L38" s="130"/>
      <c r="M38" s="54"/>
    </row>
    <row r="39" spans="2:16" ht="14.45" customHeight="1" x14ac:dyDescent="0.25">
      <c r="B39" s="51"/>
      <c r="C39" s="100"/>
      <c r="D39" s="112"/>
      <c r="E39" s="87"/>
      <c r="F39" s="118"/>
      <c r="G39" s="120"/>
      <c r="H39" s="120"/>
      <c r="I39" s="120"/>
      <c r="J39" s="120"/>
      <c r="K39" s="120"/>
      <c r="L39" s="125"/>
      <c r="M39" s="54"/>
    </row>
    <row r="40" spans="2:16" ht="14.45" customHeight="1" thickBot="1" x14ac:dyDescent="0.3">
      <c r="B40" s="51"/>
      <c r="C40" s="100"/>
      <c r="D40" s="87"/>
      <c r="E40" s="121" t="s">
        <v>143</v>
      </c>
      <c r="F40" s="136"/>
      <c r="G40" s="137">
        <f>SUM(G36:G39)</f>
        <v>7000000</v>
      </c>
      <c r="H40" s="137">
        <f t="shared" ref="H40:L40" si="5">SUM(H36:H39)</f>
        <v>0</v>
      </c>
      <c r="I40" s="137">
        <f t="shared" si="5"/>
        <v>0</v>
      </c>
      <c r="J40" s="137">
        <f t="shared" si="5"/>
        <v>1000000</v>
      </c>
      <c r="K40" s="137">
        <f t="shared" si="5"/>
        <v>200000</v>
      </c>
      <c r="L40" s="137">
        <f t="shared" si="5"/>
        <v>1200000</v>
      </c>
      <c r="M40" s="54"/>
    </row>
    <row r="41" spans="2:16" ht="14.45" customHeight="1" x14ac:dyDescent="0.25">
      <c r="B41" s="51"/>
      <c r="C41" s="100"/>
      <c r="D41" s="87"/>
      <c r="E41" s="87"/>
      <c r="F41" s="104"/>
      <c r="G41" s="104"/>
      <c r="H41" s="104"/>
      <c r="I41" s="104"/>
      <c r="J41" s="104"/>
      <c r="K41" s="104"/>
      <c r="L41" s="111"/>
      <c r="M41" s="54"/>
    </row>
    <row r="42" spans="2:16" ht="15.95" customHeight="1" thickBot="1" x14ac:dyDescent="0.3">
      <c r="B42" s="51"/>
      <c r="C42" s="100"/>
      <c r="D42" s="87"/>
      <c r="E42" s="107" t="s">
        <v>146</v>
      </c>
      <c r="F42" s="138"/>
      <c r="G42" s="139">
        <f>G21+G26+G33+G40</f>
        <v>13464000</v>
      </c>
      <c r="H42" s="139">
        <f t="shared" ref="H42:L42" si="6">H21+H26+H33+H40</f>
        <v>1330000</v>
      </c>
      <c r="I42" s="139">
        <f t="shared" si="6"/>
        <v>840000</v>
      </c>
      <c r="J42" s="139">
        <f t="shared" si="6"/>
        <v>3235000</v>
      </c>
      <c r="K42" s="139">
        <f t="shared" si="6"/>
        <v>3290000</v>
      </c>
      <c r="L42" s="139">
        <f t="shared" si="6"/>
        <v>15159000</v>
      </c>
      <c r="M42" s="54"/>
      <c r="P42" s="79"/>
    </row>
    <row r="43" spans="2:16" ht="15" customHeight="1" thickTop="1" x14ac:dyDescent="0.25">
      <c r="B43" s="51"/>
      <c r="C43" s="100"/>
      <c r="D43" s="87"/>
      <c r="E43" s="87"/>
      <c r="F43" s="104"/>
      <c r="G43" s="104"/>
      <c r="H43" s="104"/>
      <c r="I43" s="104"/>
      <c r="J43" s="104"/>
      <c r="K43" s="104"/>
      <c r="L43" s="111"/>
      <c r="M43" s="54"/>
    </row>
    <row r="44" spans="2:16" ht="15.95" customHeight="1" thickBot="1" x14ac:dyDescent="0.3">
      <c r="B44" s="51"/>
      <c r="C44" s="100"/>
      <c r="D44" s="87"/>
      <c r="E44" s="107" t="s">
        <v>166</v>
      </c>
      <c r="F44" s="140"/>
      <c r="G44" s="141">
        <f>0-G42</f>
        <v>-13464000</v>
      </c>
      <c r="H44" s="142">
        <f>0-H42</f>
        <v>-1330000</v>
      </c>
      <c r="I44" s="142">
        <f>0-I42</f>
        <v>-840000</v>
      </c>
      <c r="J44" s="142">
        <f>0-J42</f>
        <v>-3235000</v>
      </c>
      <c r="K44" s="139">
        <f>K11-K42</f>
        <v>42210000</v>
      </c>
      <c r="L44" s="143">
        <f>SUM(G44:K44)</f>
        <v>23341000</v>
      </c>
      <c r="M44" s="54"/>
      <c r="P44" s="144"/>
    </row>
    <row r="45" spans="2:16" ht="5.0999999999999996" customHeight="1" thickTop="1" thickBot="1" x14ac:dyDescent="0.3">
      <c r="B45" s="51"/>
      <c r="C45" s="145"/>
      <c r="D45" s="146"/>
      <c r="E45" s="146"/>
      <c r="F45" s="147"/>
      <c r="G45" s="148"/>
      <c r="H45" s="149"/>
      <c r="I45" s="148"/>
      <c r="J45" s="149"/>
      <c r="K45" s="147"/>
      <c r="L45" s="146"/>
      <c r="M45" s="54"/>
    </row>
    <row r="46" spans="2:16" ht="15.75" thickBot="1" x14ac:dyDescent="0.3">
      <c r="B46" s="81"/>
      <c r="C46" s="150"/>
      <c r="D46" s="150"/>
      <c r="E46" s="150"/>
      <c r="F46" s="151"/>
      <c r="G46" s="151"/>
      <c r="H46" s="151"/>
      <c r="I46" s="151"/>
      <c r="J46" s="151"/>
      <c r="K46" s="150"/>
      <c r="L46" s="150"/>
      <c r="M46" s="84"/>
    </row>
    <row r="47" spans="2:16" ht="15.75" thickTop="1" x14ac:dyDescent="0.25"/>
  </sheetData>
  <mergeCells count="2">
    <mergeCell ref="E4:L5"/>
    <mergeCell ref="C7:E7"/>
  </mergeCells>
  <printOptions horizontalCentered="1" verticalCentered="1"/>
  <pageMargins left="0.31496062992125984" right="0.31496062992125984" top="0.35433070866141736" bottom="0.35433070866141736" header="0.31496062992125984" footer="0.31496062992125984"/>
  <pageSetup paperSize="9" scale="8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31B84-4AC8-45A2-9152-FC52769729B3}">
  <dimension ref="B1:S44"/>
  <sheetViews>
    <sheetView showGridLines="0" zoomScale="80" zoomScaleNormal="80" workbookViewId="0">
      <selection activeCell="L43" sqref="L43"/>
    </sheetView>
  </sheetViews>
  <sheetFormatPr defaultColWidth="8.7109375" defaultRowHeight="15" x14ac:dyDescent="0.25"/>
  <cols>
    <col min="1" max="2" width="1.5703125" style="152" customWidth="1"/>
    <col min="3" max="3" width="1.5703125" style="153" customWidth="1"/>
    <col min="4" max="4" width="52.28515625" style="153" customWidth="1"/>
    <col min="5" max="5" width="2.28515625" style="153" customWidth="1"/>
    <col min="6" max="6" width="28.5703125" style="153" bestFit="1" customWidth="1"/>
    <col min="7" max="10" width="18.140625" style="153" bestFit="1" customWidth="1"/>
    <col min="11" max="11" width="19.140625" style="153" bestFit="1" customWidth="1"/>
    <col min="12" max="12" width="18.85546875" style="153" customWidth="1"/>
    <col min="13" max="15" width="1.5703125" style="153" customWidth="1"/>
    <col min="16" max="16" width="1.5703125" style="152" customWidth="1"/>
    <col min="17" max="17" width="18.5703125" style="152" bestFit="1" customWidth="1"/>
    <col min="18" max="18" width="1.5703125" style="152" customWidth="1"/>
    <col min="19" max="19" width="16.42578125" style="152" bestFit="1" customWidth="1"/>
    <col min="20" max="16384" width="8.7109375" style="152"/>
  </cols>
  <sheetData>
    <row r="1" spans="2:17" ht="15.75" thickBot="1" x14ac:dyDescent="0.3"/>
    <row r="2" spans="2:17" ht="15.6" customHeight="1" thickTop="1" thickBot="1" x14ac:dyDescent="0.3">
      <c r="B2" s="154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6"/>
    </row>
    <row r="3" spans="2:17" ht="27.75" customHeight="1" x14ac:dyDescent="0.25">
      <c r="B3" s="157"/>
      <c r="C3" s="158"/>
      <c r="D3" s="258" t="s">
        <v>167</v>
      </c>
      <c r="E3" s="259"/>
      <c r="F3" s="259"/>
      <c r="G3" s="259"/>
      <c r="H3" s="259"/>
      <c r="I3" s="259"/>
      <c r="J3" s="259"/>
      <c r="K3" s="260"/>
      <c r="L3" s="158"/>
      <c r="M3" s="159"/>
    </row>
    <row r="4" spans="2:17" ht="29.25" customHeight="1" thickBot="1" x14ac:dyDescent="0.3">
      <c r="B4" s="157"/>
      <c r="C4" s="158"/>
      <c r="D4" s="261"/>
      <c r="E4" s="262"/>
      <c r="F4" s="262"/>
      <c r="G4" s="262"/>
      <c r="H4" s="262"/>
      <c r="I4" s="262"/>
      <c r="J4" s="262"/>
      <c r="K4" s="263"/>
      <c r="L4" s="158"/>
      <c r="M4" s="159"/>
    </row>
    <row r="5" spans="2:17" ht="15" customHeight="1" thickBot="1" x14ac:dyDescent="0.3">
      <c r="B5" s="157"/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9"/>
    </row>
    <row r="6" spans="2:17" s="166" customFormat="1" ht="29.1" customHeight="1" thickBot="1" x14ac:dyDescent="0.35">
      <c r="B6" s="160"/>
      <c r="C6" s="161" t="s">
        <v>168</v>
      </c>
      <c r="D6" s="162"/>
      <c r="E6" s="162"/>
      <c r="F6" s="162"/>
      <c r="G6" s="162"/>
      <c r="H6" s="162"/>
      <c r="I6" s="162"/>
      <c r="J6" s="162"/>
      <c r="K6" s="162"/>
      <c r="L6" s="163"/>
      <c r="M6" s="164"/>
      <c r="N6" s="165"/>
      <c r="O6" s="165"/>
    </row>
    <row r="7" spans="2:17" ht="15" customHeight="1" thickBot="1" x14ac:dyDescent="0.3">
      <c r="B7" s="157"/>
      <c r="C7" s="254" t="s">
        <v>152</v>
      </c>
      <c r="D7" s="255"/>
      <c r="E7" s="256" t="s">
        <v>153</v>
      </c>
      <c r="F7" s="257"/>
      <c r="G7" s="167" t="s">
        <v>154</v>
      </c>
      <c r="H7" s="167" t="s">
        <v>155</v>
      </c>
      <c r="I7" s="167" t="s">
        <v>156</v>
      </c>
      <c r="J7" s="167" t="s">
        <v>157</v>
      </c>
      <c r="K7" s="167" t="s">
        <v>158</v>
      </c>
      <c r="L7" s="168" t="s">
        <v>159</v>
      </c>
      <c r="M7" s="159"/>
    </row>
    <row r="8" spans="2:17" ht="14.45" customHeight="1" x14ac:dyDescent="0.25">
      <c r="B8" s="157"/>
      <c r="C8" s="169"/>
      <c r="D8" s="158"/>
      <c r="E8" s="264"/>
      <c r="F8" s="265"/>
      <c r="G8" s="170"/>
      <c r="H8" s="170"/>
      <c r="I8" s="170"/>
      <c r="J8" s="170"/>
      <c r="K8" s="170"/>
      <c r="L8" s="171"/>
      <c r="M8" s="159"/>
    </row>
    <row r="9" spans="2:17" ht="15" customHeight="1" thickBot="1" x14ac:dyDescent="0.3">
      <c r="B9" s="157"/>
      <c r="C9" s="172" t="s">
        <v>169</v>
      </c>
      <c r="D9" s="158"/>
      <c r="E9" s="266"/>
      <c r="F9" s="267"/>
      <c r="G9" s="141">
        <f>'4. Arus kas'!G44</f>
        <v>-13464000</v>
      </c>
      <c r="H9" s="141">
        <f>'4. Arus kas'!H44</f>
        <v>-1330000</v>
      </c>
      <c r="I9" s="141">
        <f>'4. Arus kas'!I44</f>
        <v>-840000</v>
      </c>
      <c r="J9" s="141">
        <f>'4. Arus kas'!J44</f>
        <v>-3235000</v>
      </c>
      <c r="K9" s="173">
        <f>'4. Arus kas'!K44</f>
        <v>42210000</v>
      </c>
      <c r="L9" s="173">
        <f>'4. Arus kas'!L44</f>
        <v>23341000</v>
      </c>
      <c r="M9" s="159"/>
    </row>
    <row r="10" spans="2:17" ht="6.95" customHeight="1" thickBot="1" x14ac:dyDescent="0.3">
      <c r="B10" s="157"/>
      <c r="C10" s="174"/>
      <c r="D10" s="175"/>
      <c r="E10" s="176"/>
      <c r="F10" s="176"/>
      <c r="G10" s="176"/>
      <c r="H10" s="176"/>
      <c r="I10" s="176"/>
      <c r="J10" s="176"/>
      <c r="K10" s="176"/>
      <c r="L10" s="177"/>
      <c r="M10" s="159"/>
    </row>
    <row r="11" spans="2:17" ht="5.0999999999999996" customHeight="1" thickBot="1" x14ac:dyDescent="0.3">
      <c r="B11" s="157"/>
      <c r="C11" s="178"/>
      <c r="D11" s="158"/>
      <c r="E11" s="158"/>
      <c r="F11" s="158"/>
      <c r="G11" s="158"/>
      <c r="H11" s="158"/>
      <c r="I11" s="158"/>
      <c r="J11" s="158"/>
      <c r="K11" s="158"/>
      <c r="L11" s="158"/>
      <c r="M11" s="159"/>
    </row>
    <row r="12" spans="2:17" ht="29.1" customHeight="1" thickBot="1" x14ac:dyDescent="0.3">
      <c r="B12" s="157"/>
      <c r="C12" s="178"/>
      <c r="D12" s="158"/>
      <c r="E12" s="268" t="s">
        <v>170</v>
      </c>
      <c r="F12" s="269"/>
      <c r="G12" s="269"/>
      <c r="H12" s="269"/>
      <c r="I12" s="269"/>
      <c r="J12" s="179"/>
      <c r="K12" s="158"/>
      <c r="L12" s="152"/>
      <c r="M12" s="180"/>
      <c r="N12" s="152"/>
      <c r="O12" s="152"/>
    </row>
    <row r="13" spans="2:17" ht="15" customHeight="1" thickBot="1" x14ac:dyDescent="0.3">
      <c r="B13" s="157"/>
      <c r="C13" s="178"/>
      <c r="D13" s="158"/>
      <c r="E13" s="270" t="s">
        <v>152</v>
      </c>
      <c r="F13" s="271"/>
      <c r="G13" s="271"/>
      <c r="H13" s="271"/>
      <c r="I13" s="168" t="s">
        <v>159</v>
      </c>
      <c r="J13" s="181"/>
      <c r="K13" s="158"/>
      <c r="L13" s="152"/>
      <c r="M13" s="180"/>
      <c r="N13" s="152"/>
      <c r="O13" s="152"/>
      <c r="Q13" s="182"/>
    </row>
    <row r="14" spans="2:17" ht="14.45" customHeight="1" x14ac:dyDescent="0.25">
      <c r="B14" s="157"/>
      <c r="C14" s="178"/>
      <c r="D14" s="158"/>
      <c r="E14" s="172" t="s">
        <v>170</v>
      </c>
      <c r="F14" s="158"/>
      <c r="G14" s="158"/>
      <c r="H14" s="158"/>
      <c r="I14" s="171"/>
      <c r="J14" s="183"/>
      <c r="K14" s="158"/>
      <c r="L14" s="152"/>
      <c r="M14" s="180"/>
      <c r="N14" s="152"/>
      <c r="O14" s="152"/>
      <c r="Q14" s="182"/>
    </row>
    <row r="15" spans="2:17" ht="14.45" customHeight="1" x14ac:dyDescent="0.25">
      <c r="B15" s="157"/>
      <c r="C15" s="178"/>
      <c r="D15" s="158"/>
      <c r="E15" s="169"/>
      <c r="F15" s="158" t="s">
        <v>171</v>
      </c>
      <c r="G15" s="158"/>
      <c r="H15" s="158"/>
      <c r="I15" s="184">
        <f>-J15</f>
        <v>18869000</v>
      </c>
      <c r="J15" s="185">
        <f>SUM(G9:J9)</f>
        <v>-18869000</v>
      </c>
      <c r="K15" s="158"/>
      <c r="L15" s="152"/>
      <c r="M15" s="180"/>
      <c r="N15" s="152"/>
      <c r="O15" s="152"/>
    </row>
    <row r="16" spans="2:17" ht="14.45" customHeight="1" x14ac:dyDescent="0.25">
      <c r="B16" s="157"/>
      <c r="C16" s="178"/>
      <c r="D16" s="158"/>
      <c r="E16" s="169"/>
      <c r="F16" s="158" t="s">
        <v>172</v>
      </c>
      <c r="G16" s="158"/>
      <c r="H16" s="158"/>
      <c r="I16" s="184">
        <v>3869000</v>
      </c>
      <c r="J16" s="186"/>
      <c r="K16" s="158"/>
      <c r="L16" s="152"/>
      <c r="M16" s="180"/>
      <c r="N16" s="152"/>
      <c r="O16" s="152"/>
      <c r="Q16" s="187"/>
    </row>
    <row r="17" spans="2:15" ht="14.45" customHeight="1" x14ac:dyDescent="0.25">
      <c r="B17" s="157"/>
      <c r="C17" s="178"/>
      <c r="D17" s="158"/>
      <c r="E17" s="169"/>
      <c r="F17" s="158"/>
      <c r="G17" s="158"/>
      <c r="H17" s="158"/>
      <c r="I17" s="188"/>
      <c r="J17" s="189"/>
      <c r="K17" s="158"/>
      <c r="L17" s="152"/>
      <c r="M17" s="180"/>
      <c r="N17" s="152"/>
      <c r="O17" s="152"/>
    </row>
    <row r="18" spans="2:15" ht="15" customHeight="1" x14ac:dyDescent="0.25">
      <c r="B18" s="157"/>
      <c r="C18" s="178"/>
      <c r="D18" s="158"/>
      <c r="E18" s="169"/>
      <c r="F18" s="272" t="s">
        <v>173</v>
      </c>
      <c r="G18" s="272"/>
      <c r="H18" s="272"/>
      <c r="I18" s="184">
        <f>I15-I16</f>
        <v>15000000</v>
      </c>
      <c r="J18" s="190"/>
      <c r="K18" s="158"/>
      <c r="L18" s="152"/>
      <c r="M18" s="180"/>
      <c r="N18" s="152"/>
      <c r="O18" s="152"/>
    </row>
    <row r="19" spans="2:15" ht="14.45" customHeight="1" x14ac:dyDescent="0.25">
      <c r="B19" s="157"/>
      <c r="C19" s="178"/>
      <c r="D19" s="158"/>
      <c r="E19" s="169"/>
      <c r="F19" s="158"/>
      <c r="G19" s="158"/>
      <c r="H19" s="158"/>
      <c r="I19" s="171"/>
      <c r="J19" s="183"/>
      <c r="K19" s="158"/>
      <c r="L19" s="152"/>
      <c r="M19" s="180"/>
      <c r="N19" s="152"/>
      <c r="O19" s="152"/>
    </row>
    <row r="20" spans="2:15" ht="15" customHeight="1" thickBot="1" x14ac:dyDescent="0.3">
      <c r="B20" s="157"/>
      <c r="C20" s="178"/>
      <c r="D20" s="158"/>
      <c r="E20" s="172" t="s">
        <v>174</v>
      </c>
      <c r="F20" s="158"/>
      <c r="G20" s="158"/>
      <c r="H20" s="158"/>
      <c r="I20" s="191">
        <v>6</v>
      </c>
      <c r="J20" s="183"/>
      <c r="K20" s="158"/>
      <c r="L20" s="152"/>
      <c r="M20" s="180"/>
      <c r="N20" s="152"/>
      <c r="O20" s="152"/>
    </row>
    <row r="21" spans="2:15" ht="14.45" customHeight="1" x14ac:dyDescent="0.25">
      <c r="B21" s="157"/>
      <c r="C21" s="178"/>
      <c r="D21" s="158"/>
      <c r="E21" s="169"/>
      <c r="F21" s="158"/>
      <c r="G21" s="158"/>
      <c r="H21" s="158"/>
      <c r="I21" s="192"/>
      <c r="J21" s="183"/>
      <c r="K21" s="158"/>
      <c r="L21" s="152"/>
      <c r="M21" s="180"/>
      <c r="N21" s="152"/>
      <c r="O21" s="152"/>
    </row>
    <row r="22" spans="2:15" ht="14.45" customHeight="1" x14ac:dyDescent="0.25">
      <c r="B22" s="157"/>
      <c r="C22" s="178"/>
      <c r="D22" s="158"/>
      <c r="E22" s="172" t="s">
        <v>175</v>
      </c>
      <c r="F22" s="158"/>
      <c r="G22" s="158"/>
      <c r="H22" s="158"/>
      <c r="I22" s="192"/>
      <c r="J22" s="183"/>
      <c r="K22" s="158"/>
      <c r="L22" s="152"/>
      <c r="M22" s="180"/>
      <c r="N22" s="152"/>
      <c r="O22" s="152"/>
    </row>
    <row r="23" spans="2:15" ht="14.45" customHeight="1" x14ac:dyDescent="0.25">
      <c r="B23" s="157"/>
      <c r="C23" s="178"/>
      <c r="D23" s="158"/>
      <c r="E23" s="169"/>
      <c r="F23" s="158" t="s">
        <v>176</v>
      </c>
      <c r="G23" s="158"/>
      <c r="H23" s="158"/>
      <c r="I23" s="193">
        <v>0.06</v>
      </c>
      <c r="J23" s="183"/>
      <c r="K23" s="158"/>
      <c r="L23" s="152"/>
      <c r="M23" s="180"/>
      <c r="N23" s="152"/>
      <c r="O23" s="152"/>
    </row>
    <row r="24" spans="2:15" ht="14.45" customHeight="1" x14ac:dyDescent="0.25">
      <c r="B24" s="157"/>
      <c r="C24" s="178"/>
      <c r="D24" s="158"/>
      <c r="E24" s="169"/>
      <c r="F24" s="158" t="s">
        <v>177</v>
      </c>
      <c r="G24" s="158"/>
      <c r="H24" s="158"/>
      <c r="I24" s="194">
        <v>0.03</v>
      </c>
      <c r="J24" s="183"/>
      <c r="K24" s="158"/>
      <c r="L24" s="152"/>
      <c r="M24" s="180"/>
      <c r="N24" s="152"/>
      <c r="O24" s="152"/>
    </row>
    <row r="25" spans="2:15" ht="14.45" customHeight="1" x14ac:dyDescent="0.25">
      <c r="B25" s="157"/>
      <c r="C25" s="178"/>
      <c r="D25" s="158"/>
      <c r="E25" s="169"/>
      <c r="F25" s="273" t="s">
        <v>178</v>
      </c>
      <c r="G25" s="273"/>
      <c r="H25" s="274"/>
      <c r="I25" s="195">
        <f>I18*3%</f>
        <v>450000</v>
      </c>
      <c r="J25" s="183"/>
      <c r="K25" s="158"/>
      <c r="L25" s="152"/>
      <c r="M25" s="180"/>
      <c r="N25" s="152"/>
      <c r="O25" s="152"/>
    </row>
    <row r="26" spans="2:15" ht="15" customHeight="1" x14ac:dyDescent="0.25">
      <c r="B26" s="157"/>
      <c r="C26" s="178"/>
      <c r="D26" s="158"/>
      <c r="E26" s="169"/>
      <c r="F26" s="272" t="s">
        <v>179</v>
      </c>
      <c r="G26" s="272"/>
      <c r="H26" s="272"/>
      <c r="I26" s="184">
        <f>I18+I25</f>
        <v>15450000</v>
      </c>
      <c r="J26" s="183"/>
      <c r="K26" s="158"/>
      <c r="L26" s="152"/>
      <c r="M26" s="180"/>
      <c r="N26" s="152"/>
      <c r="O26" s="152"/>
    </row>
    <row r="27" spans="2:15" ht="15" customHeight="1" thickBot="1" x14ac:dyDescent="0.3">
      <c r="B27" s="157"/>
      <c r="C27" s="178"/>
      <c r="D27" s="158"/>
      <c r="E27" s="196"/>
      <c r="F27" s="175"/>
      <c r="G27" s="175"/>
      <c r="H27" s="175"/>
      <c r="I27" s="175"/>
      <c r="J27" s="183"/>
      <c r="K27" s="158"/>
      <c r="L27" s="152"/>
      <c r="M27" s="180"/>
      <c r="N27" s="152"/>
      <c r="O27" s="152"/>
    </row>
    <row r="28" spans="2:15" ht="15" customHeight="1" thickBot="1" x14ac:dyDescent="0.3">
      <c r="B28" s="157"/>
      <c r="C28" s="197"/>
      <c r="D28" s="158"/>
      <c r="E28" s="175"/>
      <c r="F28" s="175"/>
      <c r="G28" s="175"/>
      <c r="H28" s="175"/>
      <c r="I28" s="175"/>
      <c r="J28" s="175"/>
      <c r="K28" s="175"/>
      <c r="L28" s="158"/>
      <c r="M28" s="159"/>
    </row>
    <row r="29" spans="2:15" s="166" customFormat="1" ht="29.1" customHeight="1" thickBot="1" x14ac:dyDescent="0.35">
      <c r="B29" s="160"/>
      <c r="C29" s="275" t="s">
        <v>180</v>
      </c>
      <c r="D29" s="276"/>
      <c r="E29" s="276"/>
      <c r="F29" s="276"/>
      <c r="G29" s="276"/>
      <c r="H29" s="276"/>
      <c r="I29" s="276"/>
      <c r="J29" s="276"/>
      <c r="K29" s="276"/>
      <c r="L29" s="277"/>
      <c r="M29" s="164"/>
      <c r="N29" s="165"/>
      <c r="O29" s="165"/>
    </row>
    <row r="30" spans="2:15" ht="15" customHeight="1" thickBot="1" x14ac:dyDescent="0.3">
      <c r="B30" s="157"/>
      <c r="C30" s="254" t="s">
        <v>152</v>
      </c>
      <c r="D30" s="255"/>
      <c r="E30" s="256" t="s">
        <v>153</v>
      </c>
      <c r="F30" s="257"/>
      <c r="G30" s="167" t="s">
        <v>154</v>
      </c>
      <c r="H30" s="167" t="s">
        <v>155</v>
      </c>
      <c r="I30" s="167" t="s">
        <v>156</v>
      </c>
      <c r="J30" s="167" t="s">
        <v>157</v>
      </c>
      <c r="K30" s="167" t="s">
        <v>158</v>
      </c>
      <c r="L30" s="168" t="s">
        <v>159</v>
      </c>
      <c r="M30" s="159"/>
    </row>
    <row r="31" spans="2:15" ht="14.45" customHeight="1" x14ac:dyDescent="0.25">
      <c r="B31" s="157"/>
      <c r="C31" s="172" t="s">
        <v>181</v>
      </c>
      <c r="D31" s="158"/>
      <c r="E31" s="264"/>
      <c r="F31" s="265"/>
      <c r="G31" s="170"/>
      <c r="H31" s="170"/>
      <c r="I31" s="170"/>
      <c r="J31" s="170"/>
      <c r="K31" s="170"/>
      <c r="L31" s="171"/>
      <c r="M31" s="159"/>
    </row>
    <row r="32" spans="2:15" ht="14.45" customHeight="1" x14ac:dyDescent="0.25">
      <c r="B32" s="157"/>
      <c r="C32" s="169"/>
      <c r="D32" s="158" t="s">
        <v>172</v>
      </c>
      <c r="E32" s="280">
        <f>I16</f>
        <v>3869000</v>
      </c>
      <c r="F32" s="281"/>
      <c r="G32" s="198"/>
      <c r="H32" s="198"/>
      <c r="I32" s="198"/>
      <c r="J32" s="198"/>
      <c r="K32" s="198"/>
      <c r="L32" s="184">
        <f>SUM(E32:K32)</f>
        <v>3869000</v>
      </c>
      <c r="M32" s="159"/>
    </row>
    <row r="33" spans="2:19" ht="14.45" customHeight="1" x14ac:dyDescent="0.25">
      <c r="B33" s="157"/>
      <c r="C33" s="169"/>
      <c r="D33" s="158" t="s">
        <v>182</v>
      </c>
      <c r="E33" s="282">
        <f>I18</f>
        <v>15000000</v>
      </c>
      <c r="F33" s="283"/>
      <c r="G33" s="199"/>
      <c r="H33" s="199"/>
      <c r="I33" s="199"/>
      <c r="J33" s="199"/>
      <c r="K33" s="199"/>
      <c r="L33" s="184">
        <f>SUM(E33:K33)</f>
        <v>15000000</v>
      </c>
      <c r="M33" s="159"/>
      <c r="P33" s="200">
        <f>SUM(L32:L34)</f>
        <v>3419000</v>
      </c>
    </row>
    <row r="34" spans="2:19" ht="14.45" customHeight="1" x14ac:dyDescent="0.25">
      <c r="B34" s="157"/>
      <c r="C34" s="169"/>
      <c r="D34" s="158" t="s">
        <v>183</v>
      </c>
      <c r="E34" s="284"/>
      <c r="F34" s="285"/>
      <c r="G34" s="201"/>
      <c r="H34" s="201"/>
      <c r="I34" s="201"/>
      <c r="J34" s="201"/>
      <c r="K34" s="201">
        <f>-I26</f>
        <v>-15450000</v>
      </c>
      <c r="L34" s="184">
        <f>SUM(E34:K34)</f>
        <v>-15450000</v>
      </c>
      <c r="M34" s="159"/>
    </row>
    <row r="35" spans="2:19" ht="14.45" customHeight="1" x14ac:dyDescent="0.25">
      <c r="B35" s="157"/>
      <c r="C35" s="169"/>
      <c r="D35" s="158"/>
      <c r="E35" s="286"/>
      <c r="F35" s="287"/>
      <c r="G35" s="201"/>
      <c r="H35" s="201"/>
      <c r="I35" s="201"/>
      <c r="J35" s="201"/>
      <c r="K35" s="201"/>
      <c r="L35" s="202">
        <f>SUM(E35:K35)</f>
        <v>0</v>
      </c>
      <c r="M35" s="159"/>
    </row>
    <row r="36" spans="2:19" ht="15" customHeight="1" thickBot="1" x14ac:dyDescent="0.3">
      <c r="B36" s="157"/>
      <c r="C36" s="169"/>
      <c r="D36" s="203" t="s">
        <v>181</v>
      </c>
      <c r="E36" s="288">
        <f>SUM(E32:F35)</f>
        <v>18869000</v>
      </c>
      <c r="F36" s="289"/>
      <c r="G36" s="288">
        <f t="shared" ref="G36" si="0">SUM(G32:H35)</f>
        <v>0</v>
      </c>
      <c r="H36" s="289"/>
      <c r="I36" s="288">
        <f t="shared" ref="I36" si="1">SUM(I32:J35)</f>
        <v>0</v>
      </c>
      <c r="J36" s="289"/>
      <c r="K36" s="204">
        <f t="shared" ref="K36" si="2">SUM(K32:K34)</f>
        <v>-15450000</v>
      </c>
      <c r="L36" s="205"/>
      <c r="M36" s="159"/>
    </row>
    <row r="37" spans="2:19" ht="8.1" customHeight="1" x14ac:dyDescent="0.25">
      <c r="B37" s="157"/>
      <c r="C37" s="169"/>
      <c r="D37" s="158"/>
      <c r="E37" s="264"/>
      <c r="F37" s="265"/>
      <c r="G37" s="170"/>
      <c r="H37" s="170"/>
      <c r="I37" s="170"/>
      <c r="J37" s="170"/>
      <c r="K37" s="170"/>
      <c r="L37" s="171"/>
      <c r="M37" s="159"/>
    </row>
    <row r="38" spans="2:19" ht="15" customHeight="1" thickBot="1" x14ac:dyDescent="0.3">
      <c r="B38" s="157"/>
      <c r="C38" s="169"/>
      <c r="D38" s="206" t="s">
        <v>184</v>
      </c>
      <c r="E38" s="290">
        <f>E9</f>
        <v>0</v>
      </c>
      <c r="F38" s="291"/>
      <c r="G38" s="207">
        <f>G9</f>
        <v>-13464000</v>
      </c>
      <c r="H38" s="207">
        <f>H9</f>
        <v>-1330000</v>
      </c>
      <c r="I38" s="207">
        <f t="shared" ref="I38" si="3">I9</f>
        <v>-840000</v>
      </c>
      <c r="J38" s="207">
        <f>J9</f>
        <v>-3235000</v>
      </c>
      <c r="K38" s="208">
        <f>K9</f>
        <v>42210000</v>
      </c>
      <c r="L38" s="209">
        <f>SUM(E38:K38)</f>
        <v>23341000</v>
      </c>
      <c r="M38" s="159"/>
      <c r="Q38" s="210"/>
    </row>
    <row r="39" spans="2:19" ht="8.1" customHeight="1" thickTop="1" x14ac:dyDescent="0.25">
      <c r="B39" s="157"/>
      <c r="C39" s="169"/>
      <c r="D39" s="158"/>
      <c r="E39" s="292"/>
      <c r="F39" s="293"/>
      <c r="G39" s="211"/>
      <c r="H39" s="212"/>
      <c r="I39" s="212"/>
      <c r="J39" s="212"/>
      <c r="K39" s="212"/>
      <c r="L39" s="213"/>
      <c r="M39" s="159"/>
    </row>
    <row r="40" spans="2:19" ht="15" customHeight="1" thickBot="1" x14ac:dyDescent="0.3">
      <c r="B40" s="157"/>
      <c r="C40" s="169"/>
      <c r="D40" s="214" t="s">
        <v>185</v>
      </c>
      <c r="E40" s="278">
        <f>E36+E38</f>
        <v>18869000</v>
      </c>
      <c r="F40" s="279"/>
      <c r="G40" s="208">
        <f>E40+G38</f>
        <v>5405000</v>
      </c>
      <c r="H40" s="208">
        <f>G40+H38</f>
        <v>4075000</v>
      </c>
      <c r="I40" s="208">
        <f>H40+I38</f>
        <v>3235000</v>
      </c>
      <c r="J40" s="208">
        <f>I40+J38</f>
        <v>0</v>
      </c>
      <c r="K40" s="208">
        <f>J40+K36+K38</f>
        <v>26760000</v>
      </c>
      <c r="L40" s="215">
        <f>K40-L32</f>
        <v>22891000</v>
      </c>
      <c r="M40" s="159"/>
      <c r="Q40" s="182"/>
      <c r="S40" s="182"/>
    </row>
    <row r="41" spans="2:19" ht="8.1" customHeight="1" thickTop="1" thickBot="1" x14ac:dyDescent="0.3">
      <c r="B41" s="157"/>
      <c r="C41" s="174"/>
      <c r="D41" s="175"/>
      <c r="E41" s="216"/>
      <c r="F41" s="175"/>
      <c r="G41" s="175"/>
      <c r="H41" s="216"/>
      <c r="I41" s="175"/>
      <c r="J41" s="216"/>
      <c r="K41" s="175"/>
      <c r="L41" s="217"/>
      <c r="M41" s="159"/>
    </row>
    <row r="42" spans="2:19" ht="5.0999999999999996" customHeight="1" thickBot="1" x14ac:dyDescent="0.3">
      <c r="B42" s="218"/>
      <c r="C42" s="219"/>
      <c r="D42" s="219"/>
      <c r="E42" s="219"/>
      <c r="F42" s="219"/>
      <c r="G42" s="219"/>
      <c r="H42" s="219"/>
      <c r="I42" s="219"/>
      <c r="J42" s="219"/>
      <c r="K42" s="219"/>
      <c r="L42" s="219"/>
      <c r="M42" s="220"/>
    </row>
    <row r="43" spans="2:19" ht="15.75" thickTop="1" x14ac:dyDescent="0.25"/>
    <row r="44" spans="2:19" x14ac:dyDescent="0.25">
      <c r="Q44" s="221"/>
    </row>
  </sheetData>
  <mergeCells count="25">
    <mergeCell ref="G36:H36"/>
    <mergeCell ref="I36:J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36:F36"/>
    <mergeCell ref="C30:D30"/>
    <mergeCell ref="E30:F30"/>
    <mergeCell ref="D3:K4"/>
    <mergeCell ref="C7:D7"/>
    <mergeCell ref="E7:F7"/>
    <mergeCell ref="E8:F8"/>
    <mergeCell ref="E9:F9"/>
    <mergeCell ref="E12:I12"/>
    <mergeCell ref="E13:H13"/>
    <mergeCell ref="F18:H18"/>
    <mergeCell ref="F25:H25"/>
    <mergeCell ref="F26:H26"/>
    <mergeCell ref="C29:L29"/>
  </mergeCells>
  <pageMargins left="0.5" right="0" top="0.49803149600000002" bottom="0" header="0.31496062992126" footer="0.31496062992126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1. RAB PADI 1 Ha</vt:lpstr>
      <vt:lpstr>2. Catatan Transaksi Harian</vt:lpstr>
      <vt:lpstr>3. Laporan laba rugi</vt:lpstr>
      <vt:lpstr>4. Arus kas</vt:lpstr>
      <vt:lpstr>5. Arus Kas Pasca Pembiayaan</vt:lpstr>
      <vt:lpstr>'3. Laporan laba rugi'!Print_Area</vt:lpstr>
      <vt:lpstr>'4. Arus kas'!Print_Area</vt:lpstr>
      <vt:lpstr>'5. Arus Kas Pasca Pembiayaan'!Print_Area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Laila</dc:creator>
  <cp:lastModifiedBy>ADE SURYA ANANDA</cp:lastModifiedBy>
  <dcterms:created xsi:type="dcterms:W3CDTF">2025-07-21T02:17:59Z</dcterms:created>
  <dcterms:modified xsi:type="dcterms:W3CDTF">2026-08-05T08:04:36Z</dcterms:modified>
</cp:coreProperties>
</file>